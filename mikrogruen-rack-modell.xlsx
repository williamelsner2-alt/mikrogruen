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Anleitung" sheetId="1" state="visible" r:id="rId3"/>
    <sheet name="02-GN-Normmasse" sheetId="2" state="visible" r:id="rId4"/>
    <sheet name="01-Eingaben" sheetId="3" state="visible" r:id="rId5"/>
    <sheet name="03-Modul" sheetId="4" state="visible" r:id="rId6"/>
    <sheet name="04-Rack" sheetId="5" state="visible" r:id="rId7"/>
    <sheet name="05-Licht" sheetId="6" state="visible" r:id="rId8"/>
    <sheet name="06-Klima" sheetId="7" state="visible" r:id="rId9"/>
    <sheet name="07-Wasser" sheetId="8" state="visible" r:id="rId10"/>
    <sheet name="08-Elektrik" sheetId="9" state="visible" r:id="rId11"/>
    <sheet name="09-Ertrag" sheetId="10" state="visible" r:id="rId12"/>
    <sheet name="10-Kosten" sheetId="11" state="visible" r:id="rId13"/>
    <sheet name="11-Massen-Statik" sheetId="12" state="visible" r:id="rId14"/>
    <sheet name="12-Installationsgrenzen" sheetId="13" state="visible" r:id="rId15"/>
    <sheet name="13-Zuschnitt" sheetId="14" state="visible" r:id="rId16"/>
    <sheet name="14-Modulmasse" sheetId="15" state="visible" r:id="rId17"/>
    <sheet name="15-Tragstruktur" sheetId="16" state="visible" r:id="rId18"/>
    <sheet name="16-CAD-Parameter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<sst xmlns="http://schemas.openxmlformats.org/spreadsheetml/2006/main" count="2097" uniqueCount="1273">
  <si>
    <t xml:space="preserve">Modulares Rack-Modell — Mikrogruen-System</t>
  </si>
  <si>
    <t xml:space="preserve">Prinzip</t>
  </si>
  <si>
    <t xml:space="preserve">Ein offenes Staenderwerk traegt N gleiche Klimamodule.</t>
  </si>
  <si>
    <t xml:space="preserve">Jedes Modul ist ein geschlossener, gedaemmter Einschub mit eigenem Klima.</t>
  </si>
  <si>
    <t xml:space="preserve">Aendere nur 01-Eingaben; Geometrie, Klima, Elektrik und Kosten rechnen nach.</t>
  </si>
  <si>
    <t xml:space="preserve">Legende</t>
  </si>
  <si>
    <t xml:space="preserve">Blau auf gelb</t>
  </si>
  <si>
    <t xml:space="preserve">Eingabe — hier darfst du schreiben</t>
  </si>
  <si>
    <t xml:space="preserve">Schwarz</t>
  </si>
  <si>
    <t xml:space="preserve">Formel — nicht ueberschreiben</t>
  </si>
  <si>
    <t xml:space="preserve">Gruen hinterlegt</t>
  </si>
  <si>
    <t xml:space="preserve">Kernergebnis / Uebergabewert an die Konstruktion</t>
  </si>
  <si>
    <t xml:space="preserve">Spalte D</t>
  </si>
  <si>
    <t xml:space="preserve">Quelle bzw. Annahme, auf der ein Wert beruht</t>
  </si>
  <si>
    <t xml:space="preserve">Blattstruktur</t>
  </si>
  <si>
    <t xml:space="preserve">01-Eingaben</t>
  </si>
  <si>
    <t xml:space="preserve">Alle veraenderlichen Ausgangsgroessen</t>
  </si>
  <si>
    <t xml:space="preserve">02-GN-Normmasse</t>
  </si>
  <si>
    <t xml:space="preserve">DIN 66075 Nachschlagetabelle</t>
  </si>
  <si>
    <t xml:space="preserve">03-Modul</t>
  </si>
  <si>
    <t xml:space="preserve">Ein einzelner Einschub: Raster, Innen-/Aussenmasse, Blech, Daemmung</t>
  </si>
  <si>
    <t xml:space="preserve">04-Rack</t>
  </si>
  <si>
    <t xml:space="preserve">Staenderwerk, Etagenteilung, Stellflaeche, Flaechenproduktivitaet</t>
  </si>
  <si>
    <t xml:space="preserve">05-Licht</t>
  </si>
  <si>
    <t xml:space="preserve">PPFD und DLI je Modul, LED-Leistung gesamt</t>
  </si>
  <si>
    <t xml:space="preserve">06-Klima</t>
  </si>
  <si>
    <t xml:space="preserve">U-Wert, LED-Abwaerme, Lueftungsbedarf, Etagenkopplung</t>
  </si>
  <si>
    <t xml:space="preserve">07-Wasser</t>
  </si>
  <si>
    <t xml:space="preserve">Bedarf je Modul und gesamt, Ventile, Reservoir</t>
  </si>
  <si>
    <t xml:space="preserve">08-Elektrik</t>
  </si>
  <si>
    <t xml:space="preserve">Leistungsbilanz, Netzteile, I2C-Adressbedarf</t>
  </si>
  <si>
    <t xml:space="preserve">09-Ertrag</t>
  </si>
  <si>
    <t xml:space="preserve">Saat, Ernte, Jahresleistung</t>
  </si>
  <si>
    <t xml:space="preserve">10-Kosten</t>
  </si>
  <si>
    <t xml:space="preserve">Modulkosten x Etagenzahl plus Rack und Zentraltechnik</t>
  </si>
  <si>
    <t xml:space="preserve">Modulschnittstelle — was fix bleibt, wenn alles andere sich aendert</t>
  </si>
  <si>
    <t xml:space="preserve">Mechanisch</t>
  </si>
  <si>
    <t xml:space="preserve">Aussenmasse des Moduls und Lochrasterteilung des Staenderwerks</t>
  </si>
  <si>
    <t xml:space="preserve">Elektrisch</t>
  </si>
  <si>
    <t xml:space="preserve">Ein Steckverbinder je Modul: Versorgung, GND, Bus</t>
  </si>
  <si>
    <t xml:space="preserve">Hydraulisch</t>
  </si>
  <si>
    <t xml:space="preserve">Eine Schnellkupplung Vorlauf, ein Ablauf in die Sammelrinne</t>
  </si>
  <si>
    <t xml:space="preserve">Solange diese drei gleich bleiben, ist jedes Modul gegen jedes andere tauschbar.</t>
  </si>
  <si>
    <t xml:space="preserve">Beispielzeile</t>
  </si>
  <si>
    <t xml:space="preserve">Feld</t>
  </si>
  <si>
    <t xml:space="preserve">Wert</t>
  </si>
  <si>
    <t xml:space="preserve">Einheit</t>
  </si>
  <si>
    <t xml:space="preserve">GN-Format</t>
  </si>
  <si>
    <t xml:space="preserve">1/9</t>
  </si>
  <si>
    <t xml:space="preserve">Text, exakt wie in 02-GN-Normmasse</t>
  </si>
  <si>
    <t xml:space="preserve">Trays je Etage</t>
  </si>
  <si>
    <t xml:space="preserve">6</t>
  </si>
  <si>
    <t xml:space="preserve">Stueck</t>
  </si>
  <si>
    <t xml:space="preserve">Anzahl Etagen</t>
  </si>
  <si>
    <t xml:space="preserve">3</t>
  </si>
  <si>
    <t xml:space="preserve">Gastronorm-Grundmasse nach DIN 66075 / EN 631</t>
  </si>
  <si>
    <t xml:space="preserve">Format</t>
  </si>
  <si>
    <t xml:space="preserve">Laenge mm</t>
  </si>
  <si>
    <t xml:space="preserve">Breite mm</t>
  </si>
  <si>
    <t xml:space="preserve">Flaeche cm²</t>
  </si>
  <si>
    <t xml:space="preserve">Anmerkung</t>
  </si>
  <si>
    <t xml:space="preserve">2/1</t>
  </si>
  <si>
    <t xml:space="preserve">Doppelmodul</t>
  </si>
  <si>
    <t xml:space="preserve">1/1</t>
  </si>
  <si>
    <t xml:space="preserve">Grundmodul</t>
  </si>
  <si>
    <t xml:space="preserve">1/2</t>
  </si>
  <si>
    <t xml:space="preserve">2/3</t>
  </si>
  <si>
    <t xml:space="preserve">1/3</t>
  </si>
  <si>
    <t xml:space="preserve">1/4</t>
  </si>
  <si>
    <t xml:space="preserve">1/6</t>
  </si>
  <si>
    <t xml:space="preserve">kleinste Norm-Fraktion</t>
  </si>
  <si>
    <t xml:space="preserve">Quelle</t>
  </si>
  <si>
    <t xml:space="preserve">DIN 66075 / EN 631, Aussenmasse der Behaelteroeffnung</t>
  </si>
  <si>
    <t xml:space="preserve">Hinweis</t>
  </si>
  <si>
    <t xml:space="preserve">Formate sind flaechenkompatibel: zwei GN 1/9 belegen die Flaeche eines GN 1/6</t>
  </si>
  <si>
    <t xml:space="preserve">Eingangsvariablen — nur hier aendern</t>
  </si>
  <si>
    <t xml:space="preserve">A  Trays und Raster (je Etage)</t>
  </si>
  <si>
    <t xml:space="preserve">Groesse</t>
  </si>
  <si>
    <t xml:space="preserve">Quelle / Annahme</t>
  </si>
  <si>
    <t xml:space="preserve">Text</t>
  </si>
  <si>
    <t xml:space="preserve">Muss exakt einem Eintrag in 02-GN-Normmasse entsprechen</t>
  </si>
  <si>
    <t xml:space="preserve">Trayhoehe (Behaeltertiefe)</t>
  </si>
  <si>
    <t xml:space="preserve">mm</t>
  </si>
  <si>
    <t xml:space="preserve">Genormte Stufe: 20/40/65/100/150</t>
  </si>
  <si>
    <t xml:space="preserve">Stk</t>
  </si>
  <si>
    <t xml:space="preserve">Frei waehlbar</t>
  </si>
  <si>
    <t xml:space="preserve">Spalten im Raster</t>
  </si>
  <si>
    <t xml:space="preserve">Reihen werden daraus berechnet</t>
  </si>
  <si>
    <t xml:space="preserve">Ausrichtung (1 = Laenge waagerecht, 2 = hochkant)</t>
  </si>
  <si>
    <t xml:space="preserve">-</t>
  </si>
  <si>
    <t xml:space="preserve">Beeinflusst Rasterform bei gleicher Flaeche</t>
  </si>
  <si>
    <t xml:space="preserve">Fuegespalt zwischen Trays</t>
  </si>
  <si>
    <t xml:space="preserve">Nur Fertigungs- und Auszugstoleranz; Griff sitzt unter dem Boerdelrand</t>
  </si>
  <si>
    <t xml:space="preserve">Abstand Raster zur Modulwand</t>
  </si>
  <si>
    <t xml:space="preserve">Umluft und Reinigungszugang</t>
  </si>
  <si>
    <t xml:space="preserve">Hoehe Auflageschiene</t>
  </si>
  <si>
    <t xml:space="preserve">Traegt den Boerdelrand, schafft Griffraum darunter</t>
  </si>
  <si>
    <t xml:space="preserve">B  Modulhoehen</t>
  </si>
  <si>
    <t xml:space="preserve">Max. Pflanzenhoehe ueber Trayrand</t>
  </si>
  <si>
    <t xml:space="preserve">Groesste geplante Sorte bestimmt den Wert</t>
  </si>
  <si>
    <t xml:space="preserve">Abstand LED zur Pflanzenspitze</t>
  </si>
  <si>
    <t xml:space="preserve">Kompromiss Ausleuchtung / Waermeeintrag</t>
  </si>
  <si>
    <t xml:space="preserve">Bauhoehe LED inkl. Profil</t>
  </si>
  <si>
    <t xml:space="preserve">Streifen auf Alu-Profil</t>
  </si>
  <si>
    <t xml:space="preserve">Hoehenreserve</t>
  </si>
  <si>
    <t xml:space="preserve">Toleranz Fertigung und Montage</t>
  </si>
  <si>
    <t xml:space="preserve">Substrathoehe im Tray</t>
  </si>
  <si>
    <t xml:space="preserve">Ueblich 20-30 mm fuer Mikrogruen</t>
  </si>
  <si>
    <t xml:space="preserve">C  Rack und Etagen</t>
  </si>
  <si>
    <t xml:space="preserve">Etagen im Staenderwerk (Z)</t>
  </si>
  <si>
    <t xml:space="preserve">Zusammen mit X und Y (Abschnitt Q) das Raster X x Y x Z — nachtraeglich nicht erweiterbar</t>
  </si>
  <si>
    <t xml:space="preserve">Davon bereits gedaemmt ausgefuehrt</t>
  </si>
  <si>
    <t xml:space="preserve">0 = alle einschalig; Liner jederzeit nachruestbar</t>
  </si>
  <si>
    <t xml:space="preserve">Lochrasterteilung im Staender</t>
  </si>
  <si>
    <t xml:space="preserve">Analog 19-Zoll-Technik: Module rasten in Vielfachen ein</t>
  </si>
  <si>
    <t xml:space="preserve">Spiel Modul zu Staender je Seite</t>
  </si>
  <si>
    <t xml:space="preserve">Einschub muss ohne Klemmen laufen</t>
  </si>
  <si>
    <t xml:space="preserve">Kantenlaenge Rahmenprofil</t>
  </si>
  <si>
    <t xml:space="preserve">Vierkantrohr Staenderwerk, 30x30x2 als Ausgangswert</t>
  </si>
  <si>
    <t xml:space="preserve">Sockelhoehe</t>
  </si>
  <si>
    <t xml:space="preserve">Bodenfreiheit, Stellfuesse, Reinigung darunter</t>
  </si>
  <si>
    <t xml:space="preserve">D  Technikschraenke (extern, ausserhalb des Racks)</t>
  </si>
  <si>
    <t xml:space="preserve">Breite Elektronikschrank</t>
  </si>
  <si>
    <t xml:space="preserve">Gaengiges Wandgehaeuse-Mass; Hutschiene mit Netzteilen, ESP32, Relais</t>
  </si>
  <si>
    <t xml:space="preserve">Hoehe Elektronikschrank</t>
  </si>
  <si>
    <t xml:space="preserve">Reicht fuer eine Hutschienenebene plus Klemmraum</t>
  </si>
  <si>
    <t xml:space="preserve">Breite Hydraulikschrank</t>
  </si>
  <si>
    <t xml:space="preserve">Reservoir und Zentralpumpe</t>
  </si>
  <si>
    <t xml:space="preserve">Hoehe Hydraulikschrank</t>
  </si>
  <si>
    <t xml:space="preserve">Aus dem Reservoirbedarf abgeleitet, siehe Pruefung in 07-Wasser</t>
  </si>
  <si>
    <t xml:space="preserve">E  Werkstoffe und Daemmung</t>
  </si>
  <si>
    <t xml:space="preserve">Blechstaerke Modulschale</t>
  </si>
  <si>
    <t xml:space="preserve">V2A 1.4301, Modul traegt keine Last — Rack traegt</t>
  </si>
  <si>
    <t xml:space="preserve">Auslegungs-Daemmstaerke</t>
  </si>
  <si>
    <t xml:space="preserve">Legt das Aussenmass fest und bleibt fix — auch bei einschaligem Bau</t>
  </si>
  <si>
    <t xml:space="preserve">Waermeleitfaehigkeit Daemmstoff</t>
  </si>
  <si>
    <t xml:space="preserve">W/(m·K)</t>
  </si>
  <si>
    <t xml:space="preserve">Schaumglas ~0,040; mineralisch, kein Ausgasen, kein Mikroplastik</t>
  </si>
  <si>
    <t xml:space="preserve">Waermeuebergang innen</t>
  </si>
  <si>
    <t xml:space="preserve">W/(m²·K)</t>
  </si>
  <si>
    <t xml:space="preserve">Freie Konvektion mit leichter Umluft</t>
  </si>
  <si>
    <t xml:space="preserve">Waermeuebergang aussen</t>
  </si>
  <si>
    <t xml:space="preserve">Ruhende Raumluft</t>
  </si>
  <si>
    <t xml:space="preserve">Verschnittzuschlag Blech</t>
  </si>
  <si>
    <t xml:space="preserve">Anteil, Wasserstrahl mit Haltestegen</t>
  </si>
  <si>
    <t xml:space="preserve">F  Licht</t>
  </si>
  <si>
    <t xml:space="preserve">Ziel-PPFD auf Kanopie</t>
  </si>
  <si>
    <t xml:space="preserve">µmol/m²/s</t>
  </si>
  <si>
    <t xml:space="preserve">Ueblicher Bereich Mikrogruen 150-250</t>
  </si>
  <si>
    <t xml:space="preserve">Photoperiode</t>
  </si>
  <si>
    <t xml:space="preserve">h/Tag</t>
  </si>
  <si>
    <t xml:space="preserve">Je Modul frei einstellbar — hier der Auslegungswert</t>
  </si>
  <si>
    <t xml:space="preserve">LED-Effizienz</t>
  </si>
  <si>
    <t xml:space="preserve">µmol/J</t>
  </si>
  <si>
    <t xml:space="preserve">Guenstige Streifen 1,0-1,5; gute Module 2,5-3,0</t>
  </si>
  <si>
    <t xml:space="preserve">Elektrische Leistung LED</t>
  </si>
  <si>
    <t xml:space="preserve">W/m</t>
  </si>
  <si>
    <t xml:space="preserve">Datenblattwert des gewaehlten Streifens</t>
  </si>
  <si>
    <t xml:space="preserve">G  Klima</t>
  </si>
  <si>
    <t xml:space="preserve">Umgebungstemperatur</t>
  </si>
  <si>
    <t xml:space="preserve">°C</t>
  </si>
  <si>
    <t xml:space="preserve">WG-Raumtemperatur; im Elterngarten deutlich niedriger</t>
  </si>
  <si>
    <t xml:space="preserve">Zieltemperatur im Modul</t>
  </si>
  <si>
    <t xml:space="preserve">Je Modul unterschiedlich einstellbar</t>
  </si>
  <si>
    <t xml:space="preserve">Anteil LED-Leistung, der zu Waerme wird</t>
  </si>
  <si>
    <t xml:space="preserve">Photonenenergie verlaesst das Modul praktisch nicht</t>
  </si>
  <si>
    <t xml:space="preserve">Leistung Umluft-/Abluftluefter je Modul</t>
  </si>
  <si>
    <t xml:space="preserve">W</t>
  </si>
  <si>
    <t xml:space="preserve">40-80 mm Luefter, drehzahlgeregelt</t>
  </si>
  <si>
    <t xml:space="preserve">Leistung Heizmatte je Modul</t>
  </si>
  <si>
    <t xml:space="preserve">Nur noetig, wenn Ziel ueber passiv erreichbarer Temperatur liegt</t>
  </si>
  <si>
    <t xml:space="preserve">H  Wasser</t>
  </si>
  <si>
    <t xml:space="preserve">Wasserbedarf</t>
  </si>
  <si>
    <t xml:space="preserve">l/m²/Tag</t>
  </si>
  <si>
    <t xml:space="preserve">Annahme Mikrogruen, ueber Logdaten zu verifizieren</t>
  </si>
  <si>
    <t xml:space="preserve">Bewaesserungszyklen</t>
  </si>
  <si>
    <t xml:space="preserve">1/Tag</t>
  </si>
  <si>
    <t xml:space="preserve">Je Modul frei einstellbar</t>
  </si>
  <si>
    <t xml:space="preserve">Effektiver Durchfluss an den Duesen je Modul</t>
  </si>
  <si>
    <t xml:space="preserve">l/h</t>
  </si>
  <si>
    <t xml:space="preserve">Deutlich unter Pumpennennwert wegen Duesenwiderstand</t>
  </si>
  <si>
    <t xml:space="preserve">Reservoir-Autonomie</t>
  </si>
  <si>
    <t xml:space="preserve">Tage</t>
  </si>
  <si>
    <t xml:space="preserve">Nachfuellintervall neben der Ausbildung</t>
  </si>
  <si>
    <t xml:space="preserve">I  Elektrik</t>
  </si>
  <si>
    <t xml:space="preserve">Spannung LED- und Aktorkreis</t>
  </si>
  <si>
    <t xml:space="preserve">V</t>
  </si>
  <si>
    <t xml:space="preserve">24 V senkt Strom und Leitungsverluste im Rack</t>
  </si>
  <si>
    <t xml:space="preserve">Spannung Logikkreis</t>
  </si>
  <si>
    <t xml:space="preserve">ESP32 und Bus</t>
  </si>
  <si>
    <t xml:space="preserve">Leistung Steuerung zentral</t>
  </si>
  <si>
    <t xml:space="preserve">ESP32 mit WLAN</t>
  </si>
  <si>
    <t xml:space="preserve">Leistung Sensorik je Modul</t>
  </si>
  <si>
    <t xml:space="preserve">SHT31 plus Feuchtesensor</t>
  </si>
  <si>
    <t xml:space="preserve">Leistung Magnetventil je Modul</t>
  </si>
  <si>
    <t xml:space="preserve">Nur waehrend der Bewaesserung offen</t>
  </si>
  <si>
    <t xml:space="preserve">Leistung Zentralpumpe</t>
  </si>
  <si>
    <t xml:space="preserve">Ein Pumpe versorgt alle Module</t>
  </si>
  <si>
    <t xml:space="preserve">Reserve Netzteildimensionierung</t>
  </si>
  <si>
    <t xml:space="preserve">Anteil ueber Spitzenlast</t>
  </si>
  <si>
    <t xml:space="preserve">J  Ertrag und Saatgut</t>
  </si>
  <si>
    <t xml:space="preserve">Ertragsdichte</t>
  </si>
  <si>
    <t xml:space="preserve">g/cm²</t>
  </si>
  <si>
    <t xml:space="preserve">Kleinsamig; Grossblatt bis 0,45</t>
  </si>
  <si>
    <t xml:space="preserve">Saatdichte</t>
  </si>
  <si>
    <t xml:space="preserve">Abgeleitet aus 15-25 g je 1020-Tray (1290 cm²)</t>
  </si>
  <si>
    <t xml:space="preserve">Kulturdauer bis Ernte</t>
  </si>
  <si>
    <t xml:space="preserve">Mittelwert ueber die Sorten, siehe Anbaudokument</t>
  </si>
  <si>
    <t xml:space="preserve">Ruest- und Reinigungszeit</t>
  </si>
  <si>
    <t xml:space="preserve">Zwischen zwei Chargen</t>
  </si>
  <si>
    <t xml:space="preserve">K  Preise</t>
  </si>
  <si>
    <t xml:space="preserve">V2A-Blech</t>
  </si>
  <si>
    <t xml:space="preserve">EUR/m²</t>
  </si>
  <si>
    <t xml:space="preserve">Marktspanne Einzelkauf 60-120; ueber Firma guenstiger</t>
  </si>
  <si>
    <t xml:space="preserve">Vierkantrohr V2A</t>
  </si>
  <si>
    <t xml:space="preserve">EUR/m</t>
  </si>
  <si>
    <t xml:space="preserve">Schaetzwert, vor Bestellung pruefen</t>
  </si>
  <si>
    <t xml:space="preserve">Daemmstoff</t>
  </si>
  <si>
    <t xml:space="preserve">EUR/m³</t>
  </si>
  <si>
    <t xml:space="preserve">Schaumglas-Platte, Schaetzwert</t>
  </si>
  <si>
    <t xml:space="preserve">GN-Behaelter je Stueck</t>
  </si>
  <si>
    <t xml:space="preserve">EUR</t>
  </si>
  <si>
    <t xml:space="preserve">Ableitung aus GN 1/1 gelocht 21,41 EUR</t>
  </si>
  <si>
    <t xml:space="preserve">LED-Streifen</t>
  </si>
  <si>
    <t xml:space="preserve">Vollspektrum, dimmbar</t>
  </si>
  <si>
    <t xml:space="preserve">Elektronik je Modul</t>
  </si>
  <si>
    <t xml:space="preserve">Ventil, Luefter, SHT31, Feuchtesensor, Steckverbinder</t>
  </si>
  <si>
    <t xml:space="preserve">Zentralelektronik einmalig</t>
  </si>
  <si>
    <t xml:space="preserve">ESP32, I2C-Multiplexer, Relaisboard, Netzteile, Pumpe</t>
  </si>
  <si>
    <t xml:space="preserve">Substrat</t>
  </si>
  <si>
    <t xml:space="preserve">EUR/l</t>
  </si>
  <si>
    <t xml:space="preserve">Kokosmatte / Anzuchterde</t>
  </si>
  <si>
    <t xml:space="preserve">Saatgut</t>
  </si>
  <si>
    <t xml:space="preserve">EUR/kg</t>
  </si>
  <si>
    <t xml:space="preserve">Bio-Mikrogruensaat, sortenabhaengig</t>
  </si>
  <si>
    <t xml:space="preserve">L  Bauraum und Skalierung</t>
  </si>
  <si>
    <t xml:space="preserve">Tiefe Elektronikschrank</t>
  </si>
  <si>
    <t xml:space="preserve">Standardtiefe Schaltschrank, Netzteil ~55 mm tief</t>
  </si>
  <si>
    <t xml:space="preserve">Tiefe Hydraulikschrank</t>
  </si>
  <si>
    <t xml:space="preserve">Ergibt zusammen rund 30 Tage Autonomie bei einem Rack</t>
  </si>
  <si>
    <t xml:space="preserve">Einbautiefe Schnittstelle</t>
  </si>
  <si>
    <t xml:space="preserve">Laengstes hinten anschliessendes Teil (Kupplung)</t>
  </si>
  <si>
    <t xml:space="preserve">Bauraum Versorgungsstrang</t>
  </si>
  <si>
    <t xml:space="preserve">Folgt dem Fallrohr: Modulablauf 20 mm + Wandstaerke und Toleranz</t>
  </si>
  <si>
    <t xml:space="preserve">Hoehe Anschlussfeld im Rack</t>
  </si>
  <si>
    <t xml:space="preserve">0 = Technik komplett extern; &gt;0 nur fuer ein Verteilerfach</t>
  </si>
  <si>
    <t xml:space="preserve">Racks je Schrankpaar</t>
  </si>
  <si>
    <t xml:space="preserve">Ein Schrankpaar kann mehrere Racks versorgen — Skalierung</t>
  </si>
  <si>
    <t xml:space="preserve">Bestueckte Module</t>
  </si>
  <si>
    <t xml:space="preserve">Startaufbau: eine Etage. Endgueltige Zahl folgt aus Budget, Statik und Kosten je m²</t>
  </si>
  <si>
    <t xml:space="preserve">M  Massen und Statik</t>
  </si>
  <si>
    <t xml:space="preserve">Dichte Edelstahl 1.4301</t>
  </si>
  <si>
    <t xml:space="preserve">kg/m³</t>
  </si>
  <si>
    <t xml:space="preserve">Normwert V2A</t>
  </si>
  <si>
    <t xml:space="preserve">Wandstaerke Vierkantrohr</t>
  </si>
  <si>
    <t xml:space="preserve">30x30x2 als Ausgangswert</t>
  </si>
  <si>
    <t xml:space="preserve">Masse GN-Behaelter je Stueck</t>
  </si>
  <si>
    <t xml:space="preserve">kg</t>
  </si>
  <si>
    <t xml:space="preserve">GN 1/9, 40 mm, Edelstahl 0,7 mm — Schaetzwert, nachwiegen</t>
  </si>
  <si>
    <t xml:space="preserve">Dichte Substrat nass</t>
  </si>
  <si>
    <t xml:space="preserve">kg/l</t>
  </si>
  <si>
    <t xml:space="preserve">Kokosmatte wassergesaettigt</t>
  </si>
  <si>
    <t xml:space="preserve">Masse Einbauten je Modul</t>
  </si>
  <si>
    <t xml:space="preserve">LED-Profil, Luefter, Ventil, Schienen, Verkabelung</t>
  </si>
  <si>
    <t xml:space="preserve">N  Installation der externen Schraenke</t>
  </si>
  <si>
    <t xml:space="preserve">Leiterquerschnitt Versorgungsleitung</t>
  </si>
  <si>
    <t xml:space="preserve">mm²</t>
  </si>
  <si>
    <t xml:space="preserve">Uebliche Litze fuer Kleinspannung</t>
  </si>
  <si>
    <t xml:space="preserve">Zulaessiger Spannungsabfall</t>
  </si>
  <si>
    <t xml:space="preserve">3 % ist die uebliche Auslegungsgrenze</t>
  </si>
  <si>
    <t xml:space="preserve">Spezifischer Widerstand Kupfer</t>
  </si>
  <si>
    <t xml:space="preserve">Ω·mm²/m</t>
  </si>
  <si>
    <t xml:space="preserve">Normwert bei 20 °C</t>
  </si>
  <si>
    <t xml:space="preserve">Innendurchmesser Vorlaufschlauch</t>
  </si>
  <si>
    <t xml:space="preserve">Lebensmittelechtes Silikon</t>
  </si>
  <si>
    <t xml:space="preserve">Foerderhoehe der Pumpe</t>
  </si>
  <si>
    <t xml:space="preserve">m</t>
  </si>
  <si>
    <t xml:space="preserve">Datenblattwert der gewaehlten Pumpe — pruefen</t>
  </si>
  <si>
    <t xml:space="preserve">Dynamische Viskositaet Wasser</t>
  </si>
  <si>
    <t xml:space="preserve">Pa·s</t>
  </si>
  <si>
    <t xml:space="preserve">bei 20 °C</t>
  </si>
  <si>
    <t xml:space="preserve">O  Zuschnitt und Blechbeschaffung</t>
  </si>
  <si>
    <t xml:space="preserve">Ruecksprung GN-Koerper je Seite</t>
  </si>
  <si>
    <t xml:space="preserve">Griffraum unter dem Boerdelrand</t>
  </si>
  <si>
    <t xml:space="preserve">Hoehe Anschlag-Aufkantung</t>
  </si>
  <si>
    <t xml:space="preserve">seitliche Trayfuehrung</t>
  </si>
  <si>
    <t xml:space="preserve">Breite Quertraeger</t>
  </si>
  <si>
    <t xml:space="preserve">U-Profil unter den Laengsschienen</t>
  </si>
  <si>
    <t xml:space="preserve">Ueberlappung Frontklappe je Seite</t>
  </si>
  <si>
    <t xml:space="preserve">dichtet die Frontoeffnung ab</t>
  </si>
  <si>
    <t xml:space="preserve">Blechtafel Breite</t>
  </si>
  <si>
    <t xml:space="preserve">V2A-Standardtafel</t>
  </si>
  <si>
    <t xml:space="preserve">Blechtafel Hoehe</t>
  </si>
  <si>
    <t xml:space="preserve">Steg zwischen Zuschnitten</t>
  </si>
  <si>
    <t xml:space="preserve">Wasserstrahl mit Haltestegen</t>
  </si>
  <si>
    <t xml:space="preserve">Randabstand zur Tafelkante</t>
  </si>
  <si>
    <t xml:space="preserve">Spannbereich</t>
  </si>
  <si>
    <t xml:space="preserve">Zulaessige I2C-Buskapazitaet</t>
  </si>
  <si>
    <t xml:space="preserve">pF</t>
  </si>
  <si>
    <t xml:space="preserve">I2C-Spezifikation Standard Mode</t>
  </si>
  <si>
    <t xml:space="preserve">Kapazitaetsbelag der Signalleitung</t>
  </si>
  <si>
    <t xml:space="preserve">pF/m</t>
  </si>
  <si>
    <t xml:space="preserve">typische ungeschirmte Zweidrahtleitung</t>
  </si>
  <si>
    <t xml:space="preserve">Anzahl Busteilnehmer</t>
  </si>
  <si>
    <t xml:space="preserve">Controller, SHT31, RTC — je rund 10 pF</t>
  </si>
  <si>
    <t xml:space="preserve">P  Beschaffungsszenario Blech</t>
  </si>
  <si>
    <t xml:space="preserve">Beschaffungsszenario (1 Zuschnitt / 2 Tafelkauf / 3 Restmaterial)</t>
  </si>
  <si>
    <t xml:space="preserve">Steuert den wirksamen Blechpreis in 10-Kosten; Vergleich der Szenarien in 13-Zuschnitt</t>
  </si>
  <si>
    <t xml:space="preserve">Preisanteil bei Restmaterial der Firma</t>
  </si>
  <si>
    <t xml:space="preserve">Annahme: nur Handling und Zuschnitt werden berechnet — durch ein Angebot ersetzen</t>
  </si>
  <si>
    <t xml:space="preserve">Q  Rasterform des Racks — dreidimensional skalierbar</t>
  </si>
  <si>
    <t xml:space="preserve">Modulspalten nebeneinander (X)</t>
  </si>
  <si>
    <t xml:space="preserve">Breite waechst; Staender werden zwischen den Spalten geteilt</t>
  </si>
  <si>
    <t xml:space="preserve">Modulreihen in der Tiefe (Y)</t>
  </si>
  <si>
    <t xml:space="preserve">1 = Rack an der Wand. 2 = frei im Raum, Zugang von beiden Seiten, ein Versorgungsstrang mittig. Mehr als 2 ist ohne Gang nicht bedienbar</t>
  </si>
  <si>
    <t xml:space="preserve">R  Ausbaureserve des Moduls — was spaeter dazukommen kann</t>
  </si>
  <si>
    <t xml:space="preserve">Dichte Schaumglas</t>
  </si>
  <si>
    <t xml:space="preserve">Herstellerangabe Platte, 100-140</t>
  </si>
  <si>
    <t xml:space="preserve">Eigenes Reservoir je Modul (Ausbau)</t>
  </si>
  <si>
    <t xml:space="preserve">l</t>
  </si>
  <si>
    <t xml:space="preserve">0 = kein modulseitiges Reservoir (entschieden 21.08.). Ein Wert &gt; 0 rechnet die Variante wieder mit</t>
  </si>
  <si>
    <t xml:space="preserve">Masse Reservoirbehaelter</t>
  </si>
  <si>
    <t xml:space="preserve">Kunststoffkanister 5 l</t>
  </si>
  <si>
    <t xml:space="preserve">Masse dezentraler Controller mit Gehaeuse</t>
  </si>
  <si>
    <t xml:space="preserve">Platine, Klemmen, Spritzwassergehaeuse</t>
  </si>
  <si>
    <t xml:space="preserve">Masse erweiterte Sensorik je Modul</t>
  </si>
  <si>
    <t xml:space="preserve">Boden-EC, pH, CO2, Blatttemperatur samt Kabel</t>
  </si>
  <si>
    <t xml:space="preserve">Masse Zusatzaktorik je Modul</t>
  </si>
  <si>
    <t xml:space="preserve">zwei Dosierpumpen, CO2-Ventil, Befeuchter, Heizmatte, zweiter Luefter</t>
  </si>
  <si>
    <t xml:space="preserve">Trayhoehe im Ausbau</t>
  </si>
  <si>
    <t xml:space="preserve">naechste GN-Normstufe ueber 40 mm</t>
  </si>
  <si>
    <t xml:space="preserve">Substrathoehe im Ausbau</t>
  </si>
  <si>
    <t xml:space="preserve">fuer Sorten mit tieferem Wurzelraum</t>
  </si>
  <si>
    <t xml:space="preserve">Blechstaerke GN-Behaelter</t>
  </si>
  <si>
    <t xml:space="preserve">Edelstahl, aus dem Katalogwert abgeleitet</t>
  </si>
  <si>
    <t xml:space="preserve">Sicherheitsbeiwert Auslegungslast</t>
  </si>
  <si>
    <t xml:space="preserve">Zuschlag auf die schwerste Ausbaustufe</t>
  </si>
  <si>
    <t xml:space="preserve">S  Bauart des Staenderwerks</t>
  </si>
  <si>
    <t xml:space="preserve">Traversenbauart (1 = Vollring je Etage, 2 = Auflageschienen + Diagonalverband)</t>
  </si>
  <si>
    <t xml:space="preserve">Bauart 2 ersetzt die vier mittleren Ringe durch leichte Winkel plus Verband</t>
  </si>
  <si>
    <t xml:space="preserve">Schenkellaenge Auflagewinkel</t>
  </si>
  <si>
    <t xml:space="preserve">gleichschenkliger Winkel, abgekantet aus Blech</t>
  </si>
  <si>
    <t xml:space="preserve">Blechstaerke Auflagewinkel</t>
  </si>
  <si>
    <t xml:space="preserve">dicker als die Modulschale, weil er traegt</t>
  </si>
  <si>
    <t xml:space="preserve">Diagonalart (1 = Stahlseil, 2 = Flachband aus Blech)</t>
  </si>
  <si>
    <t xml:space="preserve">Seil braucht Spannschloesser, Flachband nicht</t>
  </si>
  <si>
    <t xml:space="preserve">Seildurchmesser</t>
  </si>
  <si>
    <t xml:space="preserve">Edelstahlseil 7x19</t>
  </si>
  <si>
    <t xml:space="preserve">Bruchkraftbeiwert Seil</t>
  </si>
  <si>
    <t xml:space="preserve">kN/mm²</t>
  </si>
  <si>
    <t xml:space="preserve">Mindestbruchkraft = Beiwert x d²; 7x19 Edelstahl</t>
  </si>
  <si>
    <t xml:space="preserve">Preis Stahlseil</t>
  </si>
  <si>
    <t xml:space="preserve">Preis Spannschloss mit Oesen</t>
  </si>
  <si>
    <t xml:space="preserve">EUR/Stk</t>
  </si>
  <si>
    <t xml:space="preserve">M5-M6, Edelstahl</t>
  </si>
  <si>
    <t xml:space="preserve">Breite Flachband</t>
  </si>
  <si>
    <t xml:space="preserve">Alternative zum Seil, aus derselben Tafel geschnitten</t>
  </si>
  <si>
    <t xml:space="preserve">Horizontallast-Anteil fuer den Verband</t>
  </si>
  <si>
    <t xml:space="preserve">uebliche Ersatzlast fuer Schieflage und Anstossen</t>
  </si>
  <si>
    <t xml:space="preserve">Sicherheitsbeiwert Verband</t>
  </si>
  <si>
    <t xml:space="preserve">auf die Bruchkraft bezogen</t>
  </si>
  <si>
    <t xml:space="preserve">Streckgrenze V2A 1.4301</t>
  </si>
  <si>
    <t xml:space="preserve">N/mm²</t>
  </si>
  <si>
    <t xml:space="preserve">Normwert, kaltverfestigt hoeher</t>
  </si>
  <si>
    <t xml:space="preserve">Rueckwandbauart (1 = vollflaechig, 2 = nur Kanalabdeckung, 3 = offen)</t>
  </si>
  <si>
    <t xml:space="preserve">Das Modul ist die dichte Huelle, nicht das Rack. Bei 2 und 3 steift ein Diagonalverband die Rueckebene aus</t>
  </si>
  <si>
    <t xml:space="preserve">Breite der Kanalabdeckung</t>
  </si>
  <si>
    <t xml:space="preserve">deckt Vorlauf, Fallrohr und Kabelkanal ab</t>
  </si>
  <si>
    <t xml:space="preserve">Reservoirbauart (1 = im Hydraulikschrank, 2 = separater Behaelter)</t>
  </si>
  <si>
    <t xml:space="preserve">Separat heisst: zwischen Schrank und Rack geschaltet, eigen befestigt — Wartung ohne Eingriff in Schrank oder Rack</t>
  </si>
  <si>
    <t xml:space="preserve">Volumen separater Behaelter</t>
  </si>
  <si>
    <t xml:space="preserve">handelsueblicher Kanister; Groesse frei, weil sie nicht mehr am Schrankmass haengt</t>
  </si>
  <si>
    <t xml:space="preserve">Masse separater Behaelter leer</t>
  </si>
  <si>
    <t xml:space="preserve">Kanister 20 l, steht oder haengt neben dem Schrank — nicht am Rack</t>
  </si>
  <si>
    <t xml:space="preserve">Schachtelgrad beim Tafelzuschnitt</t>
  </si>
  <si>
    <t xml:space="preserve">Anteil der Tafelflaeche, der zu Teilen wird — gemessen an der Schachtelung vom 19.08.2026</t>
  </si>
  <si>
    <t xml:space="preserve">T  Modulfuehrung auf Laufrollen</t>
  </si>
  <si>
    <t xml:space="preserve">Laufschiene am Modul: Breite</t>
  </si>
  <si>
    <t xml:space="preserve">Laufflaeche unter der Modulschale, aus 1,5 mm gekantet</t>
  </si>
  <si>
    <t xml:space="preserve">Laufschiene am Modul: Hoehe</t>
  </si>
  <si>
    <t xml:space="preserve">geht in die Etagenteilung ein — siehe Pruefung in 04-Rack</t>
  </si>
  <si>
    <t xml:space="preserve">Laufschiene am Modul: Blechstaerke</t>
  </si>
  <si>
    <t xml:space="preserve">dicker als die Schale, weil sie punktuell belastet wird</t>
  </si>
  <si>
    <t xml:space="preserve">Kipphaken hinten: Hoehe</t>
  </si>
  <si>
    <t xml:space="preserve">Abkantung nach unten am hinteren Ende — faengt die hinterste Rolle</t>
  </si>
  <si>
    <t xml:space="preserve">Laufrolle: Durchmesser</t>
  </si>
  <si>
    <t xml:space="preserve">Kunststoffrolle mit Spurkranz, im Lochraster verschraubt</t>
  </si>
  <si>
    <t xml:space="preserve">Laufrolle: Breite</t>
  </si>
  <si>
    <t xml:space="preserve">Laufrollen je Seite und Etage</t>
  </si>
  <si>
    <t xml:space="preserve">zwei genuegen rechnerisch, drei halten das Modul beim Auszug laenger</t>
  </si>
  <si>
    <t xml:space="preserve">Preis Laufrolle</t>
  </si>
  <si>
    <t xml:space="preserve">Kunststoffrolle mit Bolzen, Schaetzwert</t>
  </si>
  <si>
    <t xml:space="preserve">Rollreibungsbeiwert</t>
  </si>
  <si>
    <t xml:space="preserve">Kunststoff auf Edelstahl</t>
  </si>
  <si>
    <t xml:space="preserve">Gleitreibungsbeiwert Stahl auf Stahl</t>
  </si>
  <si>
    <t xml:space="preserve">Vergleichswert ohne Rollen</t>
  </si>
  <si>
    <t xml:space="preserve">U  Innenwanne und Verrundungen</t>
  </si>
  <si>
    <t xml:space="preserve">Innenwanne: Hoehe der Aufkantung</t>
  </si>
  <si>
    <t xml:space="preserve">begrenzt durch die Trayunterkante — mehr passt nicht unter die Trays</t>
  </si>
  <si>
    <t xml:space="preserve">Innenwanne: Biegeradius innen</t>
  </si>
  <si>
    <t xml:space="preserve">R-2.1 verlangt mindestens 3 mm; 4 laesst 6 mm gerade Aufkantung</t>
  </si>
  <si>
    <t xml:space="preserve">Innenwanne: Spiel zur Modulwand je Seite</t>
  </si>
  <si>
    <t xml:space="preserve">damit die Wanne herausnehmbar bleibt</t>
  </si>
  <si>
    <t xml:space="preserve">Innenwanne: Kragen am Ablaufloch</t>
  </si>
  <si>
    <t xml:space="preserve">noch nicht konstruiert — Platzhalter</t>
  </si>
  <si>
    <t xml:space="preserve">Modulschale: Biegeradius innen</t>
  </si>
  <si>
    <t xml:space="preserve">senkrechte Innenecken, R-2.1</t>
  </si>
  <si>
    <t xml:space="preserve">Bodenneigung laengs (nach hinten)</t>
  </si>
  <si>
    <t xml:space="preserve">Grad</t>
  </si>
  <si>
    <t xml:space="preserve">zu einem Tiefpunkt; P-06: 2 Grad ist moeglicherweise zu flach</t>
  </si>
  <si>
    <t xml:space="preserve">Bodenneigung quer (nach rechts)</t>
  </si>
  <si>
    <t xml:space="preserve">zweite Neigung, ergibt genau einen Tiefpunkt</t>
  </si>
  <si>
    <t xml:space="preserve">Ein Modul — Raster, Masse, Ausbaustufen</t>
  </si>
  <si>
    <t xml:space="preserve">Auslegungsprinzip</t>
  </si>
  <si>
    <t xml:space="preserve">Die Aussenkontur folgt immer dem gedaemmten Endzustand.</t>
  </si>
  <si>
    <t xml:space="preserve">Phase 1 baut nur die Aussenschale, Phase 2 setzt Daemmung und Liner nach innen ein.</t>
  </si>
  <si>
    <t xml:space="preserve">Dadurch bleiben Rack, Etagenteilung und Schnittstelle in beiden Stufen identisch.</t>
  </si>
  <si>
    <t xml:space="preserve">Traymasse aus der Norm</t>
  </si>
  <si>
    <t xml:space="preserve">Herleitung</t>
  </si>
  <si>
    <t xml:space="preserve">Traylaenge</t>
  </si>
  <si>
    <t xml:space="preserve">Nachschlag in 02-GN-Normmasse</t>
  </si>
  <si>
    <t xml:space="preserve">Traybreite</t>
  </si>
  <si>
    <t xml:space="preserve">Trayausdehnung X</t>
  </si>
  <si>
    <t xml:space="preserve">abhaengig von der Ausrichtung</t>
  </si>
  <si>
    <t xml:space="preserve">Trayausdehnung Y</t>
  </si>
  <si>
    <t xml:space="preserve">Flaeche je Tray</t>
  </si>
  <si>
    <t xml:space="preserve">cm²</t>
  </si>
  <si>
    <t xml:space="preserve">Laenge x Breite</t>
  </si>
  <si>
    <t xml:space="preserve">Raster</t>
  </si>
  <si>
    <t xml:space="preserve">Reihen</t>
  </si>
  <si>
    <t xml:space="preserve">aufgerundet aus Trays je Etage / Spalten</t>
  </si>
  <si>
    <t xml:space="preserve">Rasterfelder</t>
  </si>
  <si>
    <t xml:space="preserve">Spalten x Reihen</t>
  </si>
  <si>
    <t xml:space="preserve">Freie Felder</t>
  </si>
  <si>
    <t xml:space="preserve">Reserve fuer Ausfallsorte</t>
  </si>
  <si>
    <t xml:space="preserve">Rasterbreite X</t>
  </si>
  <si>
    <t xml:space="preserve">Trays plus Fuegespalt</t>
  </si>
  <si>
    <t xml:space="preserve">Rastertiefe Y</t>
  </si>
  <si>
    <t xml:space="preserve">Anbauflaeche netto je Modul</t>
  </si>
  <si>
    <t xml:space="preserve">m²</t>
  </si>
  <si>
    <t xml:space="preserve">Basis fuer Wasser, Substrat, Ertrag</t>
  </si>
  <si>
    <t xml:space="preserve">Rasterflaeche brutto je Modul</t>
  </si>
  <si>
    <t xml:space="preserve">Basis fuer die Lichtrechnung</t>
  </si>
  <si>
    <t xml:space="preserve">Packungsgrad</t>
  </si>
  <si>
    <t xml:space="preserve">Anteil Nutzflaeche an Rasterflaeche</t>
  </si>
  <si>
    <t xml:space="preserve">Sollinnenraum (gedaemmter Endzustand)</t>
  </si>
  <si>
    <t xml:space="preserve">Soll-Innenbreite</t>
  </si>
  <si>
    <t xml:space="preserve">Raster plus Wandabstand</t>
  </si>
  <si>
    <t xml:space="preserve">Soll-Innentiefe</t>
  </si>
  <si>
    <t xml:space="preserve">Soll-Innenhoehe</t>
  </si>
  <si>
    <t xml:space="preserve">Schiene + Tray + Pflanze + Lichtabstand + LED + Reserve</t>
  </si>
  <si>
    <t xml:space="preserve">Wandaufbau im Endzustand</t>
  </si>
  <si>
    <t xml:space="preserve">Aussenschale + Daemmung + Liner</t>
  </si>
  <si>
    <t xml:space="preserve">Aussenkontur — in beiden Ausbaustufen gleich</t>
  </si>
  <si>
    <t xml:space="preserve">Aussenbreite Modul</t>
  </si>
  <si>
    <t xml:space="preserve">Sollinnenmass plus Endwandaufbau</t>
  </si>
  <si>
    <t xml:space="preserve">Aussentiefe Modul</t>
  </si>
  <si>
    <t xml:space="preserve">Aussenhoehe Modul</t>
  </si>
  <si>
    <t xml:space="preserve">Huellflaeche aussen</t>
  </si>
  <si>
    <t xml:space="preserve">Basis fuer Waermedurchgang und Blechbedarf</t>
  </si>
  <si>
    <t xml:space="preserve">Bodenflaeche Modul</t>
  </si>
  <si>
    <t xml:space="preserve">Kopplungsflaeche zur Nachbaretage</t>
  </si>
  <si>
    <t xml:space="preserve">Huellflaeche Liner (vollstaendig)</t>
  </si>
  <si>
    <t xml:space="preserve">Innenschale bei Volldaemmung</t>
  </si>
  <si>
    <t xml:space="preserve">Flaeche Boden und Decke</t>
  </si>
  <si>
    <t xml:space="preserve">die beiden Flaechen zu den Nachbaretagen</t>
  </si>
  <si>
    <t xml:space="preserve">Flaeche der Seitenwaende</t>
  </si>
  <si>
    <t xml:space="preserve">die vier Flaechen zur Umgebung</t>
  </si>
  <si>
    <t xml:space="preserve">Liner nur Boden und Decke</t>
  </si>
  <si>
    <t xml:space="preserve">Innenschale bei Teildaemmung</t>
  </si>
  <si>
    <t xml:space="preserve">Ausbaustufe 1 — einschalig</t>
  </si>
  <si>
    <t xml:space="preserve">Innenbreite einschalig</t>
  </si>
  <si>
    <t xml:space="preserve">Aussenmass minus nur der Aussenschale</t>
  </si>
  <si>
    <t xml:space="preserve">Innentiefe einschalig</t>
  </si>
  <si>
    <t xml:space="preserve">Innenhoehe einschalig</t>
  </si>
  <si>
    <t xml:space="preserve">Toter Raum je Seite in Stufe 1</t>
  </si>
  <si>
    <t xml:space="preserve">wird beim Nachruesten vom Liner belegt</t>
  </si>
  <si>
    <t xml:space="preserve">Luftvolumen einschalig</t>
  </si>
  <si>
    <t xml:space="preserve">m³</t>
  </si>
  <si>
    <t xml:space="preserve">Basis fuer die Luftwechselrechnung Stufe 1</t>
  </si>
  <si>
    <t xml:space="preserve">Luftvolumen gedaemmt</t>
  </si>
  <si>
    <t xml:space="preserve">Basis fuer die Luftwechselrechnung Stufe 2</t>
  </si>
  <si>
    <t xml:space="preserve">Blech- und Daemmbedarf je Modul</t>
  </si>
  <si>
    <t xml:space="preserve">Blech BRUTTO je Modul (Zuschnittbedarf)</t>
  </si>
  <si>
    <t xml:space="preserve">netto + Ausschnittabfall, mit Verschnittzuschlag — Grundlage fuer die Kosten</t>
  </si>
  <si>
    <t xml:space="preserve">Blech gedaemmtes Modul</t>
  </si>
  <si>
    <t xml:space="preserve">Aussenschale plus Liner</t>
  </si>
  <si>
    <t xml:space="preserve">Daemmstoff bei Volldaemmung</t>
  </si>
  <si>
    <t xml:space="preserve">mittlere Flaeche x Staerke</t>
  </si>
  <si>
    <t xml:space="preserve">Blech teilgedaemmtes Modul</t>
  </si>
  <si>
    <t xml:space="preserve">Aussenschale plus Liner nur horizontal</t>
  </si>
  <si>
    <t xml:space="preserve">Daemmstoff bei Teildaemmung</t>
  </si>
  <si>
    <t xml:space="preserve">nur Boden und Decke</t>
  </si>
  <si>
    <t xml:space="preserve">Auflageschienen je Modul</t>
  </si>
  <si>
    <t xml:space="preserve">zwei Schienen je Trayreihe</t>
  </si>
  <si>
    <t xml:space="preserve">Nachruestbarkeit</t>
  </si>
  <si>
    <t xml:space="preserve">Innenausbau je Modul — aus dem CAD-Modell abgeleitet</t>
  </si>
  <si>
    <t xml:space="preserve">Innenwanne (Boden plus vier Aufkantungen)</t>
  </si>
  <si>
    <t xml:space="preserve">Bodenflaeche plus umlaufende Aufkantung — Gegenprobe CAD 21.08.2026: 0,2051 m²</t>
  </si>
  <si>
    <t xml:space="preserve">Auflageschienen (U-Profil)</t>
  </si>
  <si>
    <t xml:space="preserve">abgewickelte Breite = 2 x Schienenhoehe + Profilbreite, Laenge = Modulinnentiefe</t>
  </si>
  <si>
    <t xml:space="preserve">Quertraeger (U-Profil)</t>
  </si>
  <si>
    <t xml:space="preserve">zwei Traeger, abgewickelte Breite 2 x Hoehe + 20 mm</t>
  </si>
  <si>
    <t xml:space="preserve">Anschlagbleche</t>
  </si>
  <si>
    <t xml:space="preserve">seitlich und hinten, Hoehe rund 8 mm</t>
  </si>
  <si>
    <t xml:space="preserve">Innenausbau gesamt</t>
  </si>
  <si>
    <t xml:space="preserve">Gegenprobe CAD 19.08.2026: 0,2797 m²</t>
  </si>
  <si>
    <t xml:space="preserve">Blech NETTO je Modul (verbautes Material)</t>
  </si>
  <si>
    <t xml:space="preserve">Huellflaeche plus Innenausbau — Grundlage fuer die Masse</t>
  </si>
  <si>
    <t xml:space="preserve">Ausschnittabfall Frontoeffnung</t>
  </si>
  <si>
    <t xml:space="preserve">wird ausgeschnitten und ist Abfall; die Klappe kommt zusaetzlich</t>
  </si>
  <si>
    <t xml:space="preserve">Staenderwerk und Etagenteilung</t>
  </si>
  <si>
    <t xml:space="preserve">Teilung</t>
  </si>
  <si>
    <t xml:space="preserve">Etagenteilung (Lochraster)</t>
  </si>
  <si>
    <t xml:space="preserve">Modulhoehe plus Spiel, auf Rastermass aufgerundet</t>
  </si>
  <si>
    <t xml:space="preserve">Ungenutzte Hoehe je Etage</t>
  </si>
  <si>
    <t xml:space="preserve">Rundungsverlust — klein halten durch Wahl des Rastermasses</t>
  </si>
  <si>
    <t xml:space="preserve">0, solange Elektronik und Hydraulik in externen Schraenken sitzen</t>
  </si>
  <si>
    <t xml:space="preserve">Breitenbedarf Technik im Rack</t>
  </si>
  <si>
    <t xml:space="preserve">0 — Technik ist extern; Wert bleibt als Platzhalter fuer ein spaeteres Verteilerfach</t>
  </si>
  <si>
    <t xml:space="preserve">Rackmasse</t>
  </si>
  <si>
    <t xml:space="preserve">Lichte Breite im Staender</t>
  </si>
  <si>
    <t xml:space="preserve">X Modulspalten plus Spiel, Staender zwischen den Spalten geteilt</t>
  </si>
  <si>
    <t xml:space="preserve">Aussenbreite Rack</t>
  </si>
  <si>
    <t xml:space="preserve">lichte Breite plus Staenderprofile</t>
  </si>
  <si>
    <t xml:space="preserve">Aussentiefe Rack</t>
  </si>
  <si>
    <t xml:space="preserve">Profile + Y Reihen (Spiel + Modul + Schnittstelle) + ein Versorgungsstrang je Reihenpaar</t>
  </si>
  <si>
    <t xml:space="preserve">Aussenhoehe Rack</t>
  </si>
  <si>
    <t xml:space="preserve">Etagen + Technikfach + Sockel + Rahmen</t>
  </si>
  <si>
    <t xml:space="preserve">Stellflaeche</t>
  </si>
  <si>
    <t xml:space="preserve">Grundflaeche im Raum</t>
  </si>
  <si>
    <t xml:space="preserve">Leistung des Racks</t>
  </si>
  <si>
    <t xml:space="preserve">Anbauflaeche netto gesamt</t>
  </si>
  <si>
    <t xml:space="preserve">je Modul x Etagenzahl</t>
  </si>
  <si>
    <t xml:space="preserve">Rasterflaeche gesamt</t>
  </si>
  <si>
    <t xml:space="preserve">Trays gesamt</t>
  </si>
  <si>
    <t xml:space="preserve">entspricht der maximalen Sortenzahl gleichzeitig</t>
  </si>
  <si>
    <t xml:space="preserve">Flaechenfaktor</t>
  </si>
  <si>
    <t xml:space="preserve">m²/m²</t>
  </si>
  <si>
    <t xml:space="preserve">Anbauflaeche je Quadratmeter Stellflaeche — der Sinn des Racks</t>
  </si>
  <si>
    <t xml:space="preserve">Materialbedarf Rack</t>
  </si>
  <si>
    <t xml:space="preserve">Profillaenge Staenderwerk</t>
  </si>
  <si>
    <t xml:space="preserve">Staender ueber den Fuessen plus Traversenringe; Bauart 2 behaelt nur Boden- und Kopfring (01-Eingaben Zeile 151)</t>
  </si>
  <si>
    <t xml:space="preserve">Blech Rueckwand / Kanalabdeckung</t>
  </si>
  <si>
    <t xml:space="preserve">vollflaechig, nur Kanalstreifen oder ganz offen — bei zweireihigem Rack je Reihenpaar eine Ebene</t>
  </si>
  <si>
    <t xml:space="preserve">Blech gesamt</t>
  </si>
  <si>
    <t xml:space="preserve">gedaemmte und einschalige Module plus Rackverkleidung</t>
  </si>
  <si>
    <t xml:space="preserve">Bestueckung pruefen</t>
  </si>
  <si>
    <t xml:space="preserve">Freie Modulplaetze</t>
  </si>
  <si>
    <t xml:space="preserve">spaeter nachruestbar, ohne das Rack zu aendern</t>
  </si>
  <si>
    <t xml:space="preserve">Pruefung</t>
  </si>
  <si>
    <t xml:space="preserve">Ergebnis</t>
  </si>
  <si>
    <t xml:space="preserve">Bedeutung</t>
  </si>
  <si>
    <t xml:space="preserve">Passen alle Trays ins Raster?</t>
  </si>
  <si>
    <t xml:space="preserve">Was bestimmt die Rackbreite?</t>
  </si>
  <si>
    <t xml:space="preserve">Hinweis auf ungenutztes Breitenpotenzial</t>
  </si>
  <si>
    <t xml:space="preserve">Rastermass sinnvoll gewaehlt?</t>
  </si>
  <si>
    <t xml:space="preserve">Rackhoehe erreichbar?</t>
  </si>
  <si>
    <t xml:space="preserve">Ergonomie beim taeglichen Kontrollgang</t>
  </si>
  <si>
    <t xml:space="preserve">Rasterform X x Y x Z</t>
  </si>
  <si>
    <t xml:space="preserve">Modulplaetze gesamt</t>
  </si>
  <si>
    <t xml:space="preserve">X x Y x Z — die Kapazitaet des Staenderwerks</t>
  </si>
  <si>
    <t xml:space="preserve">Modulplaetze je Ebene</t>
  </si>
  <si>
    <t xml:space="preserve">eine Ebene des Rasters</t>
  </si>
  <si>
    <t xml:space="preserve">Belegte Ebenen</t>
  </si>
  <si>
    <t xml:space="preserve">von unten aufgefuellt — bestimmt den Schwerpunkt</t>
  </si>
  <si>
    <t xml:space="preserve">Zugang</t>
  </si>
  <si>
    <t xml:space="preserve">folgt aus der Reihenzahl Y</t>
  </si>
  <si>
    <t xml:space="preserve">Pruefung Rastertiefe</t>
  </si>
  <si>
    <t xml:space="preserve">Module werden nach vorn gezogen</t>
  </si>
  <si>
    <t xml:space="preserve">Profillaenge je Modulplatz</t>
  </si>
  <si>
    <t xml:space="preserve">m/Platz</t>
  </si>
  <si>
    <t xml:space="preserve">sinkt, je wuerfelfoermiger das Raster wird</t>
  </si>
  <si>
    <t xml:space="preserve">Stellflaeche je Modulplatz</t>
  </si>
  <si>
    <t xml:space="preserve">m²/Platz</t>
  </si>
  <si>
    <t xml:space="preserve">sinkt nur mit der Etagenzahl, nicht mit Breite oder Tiefe</t>
  </si>
  <si>
    <t xml:space="preserve">Lichtrechnung je Modul</t>
  </si>
  <si>
    <t xml:space="preserve">Bedarf</t>
  </si>
  <si>
    <t xml:space="preserve">Erforderlicher Photonenstrom je Modul</t>
  </si>
  <si>
    <t xml:space="preserve">µmol/s</t>
  </si>
  <si>
    <t xml:space="preserve">Ziel-PPFD x Rasterflaeche</t>
  </si>
  <si>
    <t xml:space="preserve">Erforderliche LED-Leistung je Modul</t>
  </si>
  <si>
    <t xml:space="preserve">Photonenstrom / Effizienz</t>
  </si>
  <si>
    <t xml:space="preserve">Elektrisch noetige Streifenlaenge</t>
  </si>
  <si>
    <t xml:space="preserve">Leistung / Leistung je Meter</t>
  </si>
  <si>
    <t xml:space="preserve">Geometrisch noetige Laenge</t>
  </si>
  <si>
    <t xml:space="preserve">je Trayreihe eine Bahn ueber die Rasterbreite</t>
  </si>
  <si>
    <t xml:space="preserve">Gewaehlte Laenge je Modul</t>
  </si>
  <si>
    <t xml:space="preserve">auf volle 10 cm aufgerundet</t>
  </si>
  <si>
    <t xml:space="preserve">Ist-Zustand</t>
  </si>
  <si>
    <t xml:space="preserve">LED-Leistung je Modul</t>
  </si>
  <si>
    <t xml:space="preserve">Laenge x W/m</t>
  </si>
  <si>
    <t xml:space="preserve">LED-Leistung gesamt</t>
  </si>
  <si>
    <t xml:space="preserve">Erreichte PPFD</t>
  </si>
  <si>
    <t xml:space="preserve">installierter Photonenstrom / Rasterflaeche</t>
  </si>
  <si>
    <t xml:space="preserve">Tageslichtsumme DLI</t>
  </si>
  <si>
    <t xml:space="preserve">mol/m²/Tag</t>
  </si>
  <si>
    <t xml:space="preserve">PPFD x Stunden x 3600 / 1e6</t>
  </si>
  <si>
    <t xml:space="preserve">Bewertung DLI</t>
  </si>
  <si>
    <t xml:space="preserve">Richtwert Mikrogruen 6-16 mol/m²/Tag</t>
  </si>
  <si>
    <t xml:space="preserve">Energie Licht je Tag gesamt</t>
  </si>
  <si>
    <t xml:space="preserve">kWh</t>
  </si>
  <si>
    <t xml:space="preserve">Leistung x Photoperiode</t>
  </si>
  <si>
    <t xml:space="preserve">Klimazonen — beide Ausbaustufen im Vergleich</t>
  </si>
  <si>
    <t xml:space="preserve">Grundgedanke</t>
  </si>
  <si>
    <t xml:space="preserve">In einem kleinen Modul ist die LED die dominierende Waermequelle.</t>
  </si>
  <si>
    <t xml:space="preserve">Klimazonen entstehen ueber gesteuerte Waermeabfuhr, nicht ueber Heizen.</t>
  </si>
  <si>
    <t xml:space="preserve">Daemmung dient der Entkopplung der Etagen, nicht der Temperaturhaltung.</t>
  </si>
  <si>
    <t xml:space="preserve">Waermequellen im Modul</t>
  </si>
  <si>
    <t xml:space="preserve">Abwaerme LED</t>
  </si>
  <si>
    <t xml:space="preserve">nahezu die gesamte elektrische Leistung</t>
  </si>
  <si>
    <t xml:space="preserve">Interne Waermelast</t>
  </si>
  <si>
    <t xml:space="preserve">LED plus Luefter</t>
  </si>
  <si>
    <t xml:space="preserve">Stufe 1 — einschalig</t>
  </si>
  <si>
    <t xml:space="preserve">U-Wert der Wand</t>
  </si>
  <si>
    <t xml:space="preserve">nur die beiden Uebergangswiderstaende; Blech vernachlaessigbar</t>
  </si>
  <si>
    <t xml:space="preserve">Verlustkoeffizient</t>
  </si>
  <si>
    <t xml:space="preserve">W/K</t>
  </si>
  <si>
    <t xml:space="preserve">U-Wert x Huellflaeche</t>
  </si>
  <si>
    <t xml:space="preserve">Temperaturanstieg ueber Umgebung</t>
  </si>
  <si>
    <t xml:space="preserve">K</t>
  </si>
  <si>
    <t xml:space="preserve">Waermelast / Verlustkoeffizient</t>
  </si>
  <si>
    <t xml:space="preserve">Sich einstellende Temperatur</t>
  </si>
  <si>
    <t xml:space="preserve">Umgebung plus Anstieg</t>
  </si>
  <si>
    <t xml:space="preserve">Stufe 2 — gedaemmt</t>
  </si>
  <si>
    <t xml:space="preserve">Reihenschaltung inkl. Daemmschicht</t>
  </si>
  <si>
    <t xml:space="preserve">Zusaetzlicher Anstieg durch Daemmung</t>
  </si>
  <si>
    <t xml:space="preserve">so viel waermer wird das Modul durch den Liner</t>
  </si>
  <si>
    <t xml:space="preserve">Lueftungsbedarf zur Waermeabfuhr</t>
  </si>
  <si>
    <t xml:space="preserve">Volumenstrom Stufe 1</t>
  </si>
  <si>
    <t xml:space="preserve">m³/h</t>
  </si>
  <si>
    <t xml:space="preserve">Q = Massenstrom x cp x dT</t>
  </si>
  <si>
    <t xml:space="preserve">Volumenstrom Stufe 2</t>
  </si>
  <si>
    <t xml:space="preserve">identische Rechnung mit gedaemmtem U-Wert</t>
  </si>
  <si>
    <t xml:space="preserve">Luftwechselrate Stufe 2</t>
  </si>
  <si>
    <t xml:space="preserve">1/h</t>
  </si>
  <si>
    <t xml:space="preserve">Volumenstrom / Modulvolumen</t>
  </si>
  <si>
    <t xml:space="preserve">Bewertung Luftwechsel</t>
  </si>
  <si>
    <t xml:space="preserve">Temperaturregelung ueber Luft kostet Feuchtekontrolle</t>
  </si>
  <si>
    <t xml:space="preserve">Heizbedarf Stufe 2</t>
  </si>
  <si>
    <t xml:space="preserve">nur relevant bei kalter Umgebung</t>
  </si>
  <si>
    <t xml:space="preserve">Heizmatte ausreichend?</t>
  </si>
  <si>
    <t xml:space="preserve">Stufe 2b — nur Boden und Decke gedaemmt</t>
  </si>
  <si>
    <t xml:space="preserve">gedaemmte Horizontalflaechen plus offene Seitenwaende</t>
  </si>
  <si>
    <t xml:space="preserve">Volumenstrom</t>
  </si>
  <si>
    <t xml:space="preserve">identische Rechnung mit gemischtem U-Wert</t>
  </si>
  <si>
    <t xml:space="preserve">Kopplung zwischen zwei Etagen — der eigentliche Zweck der Daemmung</t>
  </si>
  <si>
    <t xml:space="preserve">Kopplungsanteil Stufe 1</t>
  </si>
  <si>
    <t xml:space="preserve">Waermestrom ueber Boden und Decke / Gesamtverlust</t>
  </si>
  <si>
    <t xml:space="preserve">Kopplungsanteil Stufe 2</t>
  </si>
  <si>
    <t xml:space="preserve">Verschiebung je 10 K Nachbardifferenz, Stufe 1</t>
  </si>
  <si>
    <t xml:space="preserve">so stark zieht die Nachbaretage</t>
  </si>
  <si>
    <t xml:space="preserve">Verschiebung je 10 K Nachbardifferenz, Stufe 2</t>
  </si>
  <si>
    <t xml:space="preserve">Kopplungsanteil Stufe 2b</t>
  </si>
  <si>
    <t xml:space="preserve">nur die gedaemmten Horizontalflaechen im Zaehler</t>
  </si>
  <si>
    <t xml:space="preserve">Verschiebung je 10 K Nachbardifferenz, Stufe 2b</t>
  </si>
  <si>
    <t xml:space="preserve">Warum Volldaemmung nichts bringt</t>
  </si>
  <si>
    <t xml:space="preserve">2 x Bodenflaeche geteilt durch Huellflaeche, unabhaengig vom Daemmstoff</t>
  </si>
  <si>
    <t xml:space="preserve">Beste Variante fuer Klimazonen</t>
  </si>
  <si>
    <t xml:space="preserve">Wasser, Ventile, Reservoir</t>
  </si>
  <si>
    <t xml:space="preserve">Tagesbedarf je Modul</t>
  </si>
  <si>
    <t xml:space="preserve">l/Tag</t>
  </si>
  <si>
    <t xml:space="preserve">spezifischer Bedarf x Anbauflaeche</t>
  </si>
  <si>
    <t xml:space="preserve">Tagesbedarf gesamt</t>
  </si>
  <si>
    <t xml:space="preserve">Menge je Zyklus und Modul</t>
  </si>
  <si>
    <t xml:space="preserve">ml</t>
  </si>
  <si>
    <t xml:space="preserve">Tagesbedarf / Zyklen</t>
  </si>
  <si>
    <t xml:space="preserve">Ventiloeffnungszeit je Zyklus</t>
  </si>
  <si>
    <t xml:space="preserve">s</t>
  </si>
  <si>
    <t xml:space="preserve">Menge / effektiver Duesendurchsatz</t>
  </si>
  <si>
    <t xml:space="preserve">Bewertung Schaltzeit</t>
  </si>
  <si>
    <t xml:space="preserve">Unter 2 s ist die Dosierung nicht mehr reproduzierbar</t>
  </si>
  <si>
    <t xml:space="preserve">Zentralversorgung</t>
  </si>
  <si>
    <t xml:space="preserve">Anzahl Magnetventile</t>
  </si>
  <si>
    <t xml:space="preserve">eines je Modul — eine Pumpe versorgt alle</t>
  </si>
  <si>
    <t xml:space="preserve">Erforderliches Reservoir (alle Racks am Schrankpaar)</t>
  </si>
  <si>
    <t xml:space="preserve">Tagesbedarf je Rack x Autonomie x Racks je Schrankpaar</t>
  </si>
  <si>
    <t xml:space="preserve">Nutzbares Reservoirvolumen</t>
  </si>
  <si>
    <t xml:space="preserve">separater Behaelter oder Nasszone im Schrank (60 % nutzbar)</t>
  </si>
  <si>
    <t xml:space="preserve">Passt das Reservoir?</t>
  </si>
  <si>
    <t xml:space="preserve">Rueckkopplung in die Geometrie</t>
  </si>
  <si>
    <t xml:space="preserve">Moegliche Autonomie</t>
  </si>
  <si>
    <t xml:space="preserve">vorhandenes Volumen / Tagesbedarf</t>
  </si>
  <si>
    <t xml:space="preserve">Schrankvolumen / (Tagesbedarf je Rack x Racks je Schrankpaar)</t>
  </si>
  <si>
    <t xml:space="preserve">Substratvolumen je Charge gesamt</t>
  </si>
  <si>
    <t xml:space="preserve">Flaeche x Hoehe</t>
  </si>
  <si>
    <t xml:space="preserve">Leistungsbilanz und Bus</t>
  </si>
  <si>
    <t xml:space="preserve">Je Modul</t>
  </si>
  <si>
    <t xml:space="preserve">Dauerlast je Modul</t>
  </si>
  <si>
    <t xml:space="preserve">LED, Luefter, Sensorik</t>
  </si>
  <si>
    <t xml:space="preserve">Spitzenlast je Modul</t>
  </si>
  <si>
    <t xml:space="preserve">zusaetzlich Ventil offen</t>
  </si>
  <si>
    <t xml:space="preserve">Gesamtes Rack</t>
  </si>
  <si>
    <t xml:space="preserve">Dauerlast gesamt</t>
  </si>
  <si>
    <t xml:space="preserve">alle Module plus Steuerung</t>
  </si>
  <si>
    <t xml:space="preserve">Spitzenlast gesamt</t>
  </si>
  <si>
    <t xml:space="preserve">Annahme: nur ein Ventil gleichzeitig offen</t>
  </si>
  <si>
    <t xml:space="preserve">Hinweis Bewaesserungsstrategie</t>
  </si>
  <si>
    <t xml:space="preserve">gilt unabhaengig von der Etagenzahl</t>
  </si>
  <si>
    <t xml:space="preserve">Strom im 24-V-Kreis</t>
  </si>
  <si>
    <t xml:space="preserve">A</t>
  </si>
  <si>
    <t xml:space="preserve">P / U</t>
  </si>
  <si>
    <t xml:space="preserve">Netzteil Leistungskreis</t>
  </si>
  <si>
    <t xml:space="preserve">Strom mit Reserve, auf 0,1 A aufgerundet</t>
  </si>
  <si>
    <t xml:space="preserve">Netzteil Logikkreis</t>
  </si>
  <si>
    <t xml:space="preserve">Strom mit Reserve</t>
  </si>
  <si>
    <t xml:space="preserve">Energiebedarf je Tag</t>
  </si>
  <si>
    <t xml:space="preserve">Wh</t>
  </si>
  <si>
    <t xml:space="preserve">je Verbraucher mit seiner Laufzeit</t>
  </si>
  <si>
    <t xml:space="preserve">Bus und Adressierung</t>
  </si>
  <si>
    <t xml:space="preserve">Benoetigte Schaltkanaele</t>
  </si>
  <si>
    <t xml:space="preserve">LED und Ventil je Modul plus Zentralpumpe</t>
  </si>
  <si>
    <t xml:space="preserve">Benoetigte Analogkanaele</t>
  </si>
  <si>
    <t xml:space="preserve">ein Substratfeuchtesensor je Modul</t>
  </si>
  <si>
    <t xml:space="preserve">Direkt am ESP32 moeglich?</t>
  </si>
  <si>
    <t xml:space="preserve">ESP32 hat begrenzt nutzbare GPIO</t>
  </si>
  <si>
    <t xml:space="preserve">SHT31 direkt adressierbar?</t>
  </si>
  <si>
    <t xml:space="preserve">SHT31 kennt nur die Adressen 0x44 und 0x45</t>
  </si>
  <si>
    <t xml:space="preserve">Empfohlene Architektur</t>
  </si>
  <si>
    <t xml:space="preserve">Ein Controller je Modul macht Module echt eigenstaendig</t>
  </si>
  <si>
    <t xml:space="preserve">Saatbedarf und Ertrag</t>
  </si>
  <si>
    <t xml:space="preserve">Je Tray und Modul</t>
  </si>
  <si>
    <t xml:space="preserve">Saatgut je Tray</t>
  </si>
  <si>
    <t xml:space="preserve">g</t>
  </si>
  <si>
    <t xml:space="preserve">Trayflaeche x Saatdichte</t>
  </si>
  <si>
    <t xml:space="preserve">Ernte je Tray</t>
  </si>
  <si>
    <t xml:space="preserve">Trayflaeche x Ertragsdichte</t>
  </si>
  <si>
    <t xml:space="preserve">Ernte je Modul und Charge</t>
  </si>
  <si>
    <t xml:space="preserve">je Tray x Trays je Etage</t>
  </si>
  <si>
    <t xml:space="preserve">Saatgut je Charge gesamt</t>
  </si>
  <si>
    <t xml:space="preserve">je Tray x Trays gesamt</t>
  </si>
  <si>
    <t xml:space="preserve">Ernte je Charge gesamt</t>
  </si>
  <si>
    <t xml:space="preserve">Portionen a 10 g</t>
  </si>
  <si>
    <t xml:space="preserve">typische Garniturmenge je Teller</t>
  </si>
  <si>
    <t xml:space="preserve">Chargen je Jahr</t>
  </si>
  <si>
    <t xml:space="preserve">1/Jahr</t>
  </si>
  <si>
    <t xml:space="preserve">365 / (Kulturdauer + Ruestzeit)</t>
  </si>
  <si>
    <t xml:space="preserve">Jahresertrag</t>
  </si>
  <si>
    <t xml:space="preserve">je Charge x Chargen</t>
  </si>
  <si>
    <t xml:space="preserve">Jahresertrag je Stellflaeche</t>
  </si>
  <si>
    <t xml:space="preserve">kg/m²/Jahr</t>
  </si>
  <si>
    <t xml:space="preserve">das eigentliche Argument fuer das Rack</t>
  </si>
  <si>
    <t xml:space="preserve">Gleichzeitig fuehrbare Sorten</t>
  </si>
  <si>
    <t xml:space="preserve">jedes Tray kann eine eigene Sorte tragen</t>
  </si>
  <si>
    <t xml:space="preserve">Kosten — nach Ausbaustufe getrennt</t>
  </si>
  <si>
    <t xml:space="preserve">Modul in Stufe 1 (einschalig)</t>
  </si>
  <si>
    <t xml:space="preserve">Position</t>
  </si>
  <si>
    <t xml:space="preserve">Kosten</t>
  </si>
  <si>
    <t xml:space="preserve">Menge x Preis</t>
  </si>
  <si>
    <t xml:space="preserve">Blech</t>
  </si>
  <si>
    <t xml:space="preserve">Zuschnittbedarf x effektivem Blechpreis (13-Zuschnitt Zeile 47)</t>
  </si>
  <si>
    <t xml:space="preserve">GN-Behaelter</t>
  </si>
  <si>
    <t xml:space="preserve">Trays je Etage x Stueckpreis</t>
  </si>
  <si>
    <t xml:space="preserve">Laenge x Preis je m</t>
  </si>
  <si>
    <t xml:space="preserve">Elektronik</t>
  </si>
  <si>
    <t xml:space="preserve">Pauschale je Modul</t>
  </si>
  <si>
    <t xml:space="preserve">Summe Modul Stufe 1</t>
  </si>
  <si>
    <t xml:space="preserve">Grenzkosten einer einschaligen Etage</t>
  </si>
  <si>
    <t xml:space="preserve">Nachruestsatz je Modul</t>
  </si>
  <si>
    <t xml:space="preserve">Liner-Blech</t>
  </si>
  <si>
    <t xml:space="preserve">Innenschale x Preis je m²</t>
  </si>
  <si>
    <t xml:space="preserve">Volumen x Preis je m³</t>
  </si>
  <si>
    <t xml:space="preserve">Nachruestsatz Volldaemmung</t>
  </si>
  <si>
    <t xml:space="preserve">alle sechs Flaechen</t>
  </si>
  <si>
    <t xml:space="preserve">Liner-Blech nur horizontal</t>
  </si>
  <si>
    <t xml:space="preserve">Boden und Decke x Preis je m²</t>
  </si>
  <si>
    <t xml:space="preserve">Daemmstoff nur horizontal</t>
  </si>
  <si>
    <t xml:space="preserve">Nachruestsatz Teildaemmung</t>
  </si>
  <si>
    <t xml:space="preserve">nur Boden und Decke — die wirksame Variante</t>
  </si>
  <si>
    <t xml:space="preserve">Modul Stufe 2 gesamt</t>
  </si>
  <si>
    <t xml:space="preserve">Stufe 1 plus Nachruestsatz</t>
  </si>
  <si>
    <t xml:space="preserve">Aufschlag durch Daemmung</t>
  </si>
  <si>
    <t xml:space="preserve">Anteil an den Modulkosten</t>
  </si>
  <si>
    <t xml:space="preserve">Rack und Zentraltechnik (einmalig)</t>
  </si>
  <si>
    <t xml:space="preserve">Staenderwerk</t>
  </si>
  <si>
    <t xml:space="preserve">Rohr, Auflageschienen und Verband — siehe 15-Tragstruktur</t>
  </si>
  <si>
    <t xml:space="preserve">Blech Rueckwand</t>
  </si>
  <si>
    <t xml:space="preserve">Flaeche x effektivem Blechpreis</t>
  </si>
  <si>
    <t xml:space="preserve">Zentralelektronik (im Schrankpaar)</t>
  </si>
  <si>
    <t xml:space="preserve">Pauschale je Schrankpaar, nicht je Rack</t>
  </si>
  <si>
    <t xml:space="preserve">Summe Rack (je Rack)</t>
  </si>
  <si>
    <t xml:space="preserve">Staenderwerk und Rueckwand — faellt je Rack an</t>
  </si>
  <si>
    <t xml:space="preserve">Aktueller Ausbaustand</t>
  </si>
  <si>
    <t xml:space="preserve">Investition jetzt</t>
  </si>
  <si>
    <t xml:space="preserve">Rack + Schrankanteil + Module in ihrer jeweiligen Stufe</t>
  </si>
  <si>
    <t xml:space="preserve">Offene Nachruestung</t>
  </si>
  <si>
    <t xml:space="preserve">spaeter faellig, wenn alle Module gedaemmt werden</t>
  </si>
  <si>
    <t xml:space="preserve">Vollausbau gesamt</t>
  </si>
  <si>
    <t xml:space="preserve">Endzustand alle Etagen gedaemmt</t>
  </si>
  <si>
    <t xml:space="preserve">Aufschub durch Stufenbau</t>
  </si>
  <si>
    <t xml:space="preserve">dieser Betrag faellt jetzt nicht an</t>
  </si>
  <si>
    <t xml:space="preserve">Verbrauch je Charge</t>
  </si>
  <si>
    <t xml:space="preserve">Volumen x Preis je l</t>
  </si>
  <si>
    <t xml:space="preserve">Menge x Preis je kg</t>
  </si>
  <si>
    <t xml:space="preserve">Verbrauchskosten je Charge</t>
  </si>
  <si>
    <t xml:space="preserve">Substrat und Saatgut</t>
  </si>
  <si>
    <t xml:space="preserve">Verbrauchskosten je 100 g Ernte</t>
  </si>
  <si>
    <t xml:space="preserve">laufende Kosten / Erntemenge</t>
  </si>
  <si>
    <t xml:space="preserve">Investition je m² Anbauflaeche</t>
  </si>
  <si>
    <t xml:space="preserve">Vergleichsmassstab ueber Etagenzahl und Modulgroesse hinweg</t>
  </si>
  <si>
    <t xml:space="preserve">Nicht enthalten</t>
  </si>
  <si>
    <t xml:space="preserve">Maschinenstunden fuer Wasserstrahl, Schweissen, Sandstrahlen</t>
  </si>
  <si>
    <t xml:space="preserve">Eigenleistung; Strom je Charge ueber 08-Elektrik separat bewertbar</t>
  </si>
  <si>
    <t xml:space="preserve">Externe Technikschraenke (je Schrankpaar)</t>
  </si>
  <si>
    <t xml:space="preserve">Blech Elektronikschrank</t>
  </si>
  <si>
    <t xml:space="preserve">sechs Flaechen x effektivem Blechpreis</t>
  </si>
  <si>
    <t xml:space="preserve">Blech Hydraulikschrank</t>
  </si>
  <si>
    <t xml:space="preserve">Zentralelektronik und Pumpe</t>
  </si>
  <si>
    <t xml:space="preserve">Pauschale je Schrankpaar</t>
  </si>
  <si>
    <t xml:space="preserve">Summe Schrankpaar</t>
  </si>
  <si>
    <t xml:space="preserve">einmalig, unabhaengig von der Zahl der Racks</t>
  </si>
  <si>
    <t xml:space="preserve">Schrankanteil je Rack</t>
  </si>
  <si>
    <t xml:space="preserve">sinkt mit jedem weiteren Rack am selben Schrankpaar</t>
  </si>
  <si>
    <t xml:space="preserve">Massen und Standsicherheit</t>
  </si>
  <si>
    <t xml:space="preserve">Rechnet die Traglast und die Kippsicherheit — beides bisher nicht im Modell enthalten.</t>
  </si>
  <si>
    <t xml:space="preserve">Massen je Baugruppe</t>
  </si>
  <si>
    <t xml:space="preserve">Blech je Modul (netto, ohne Verschnitt)</t>
  </si>
  <si>
    <t xml:space="preserve">verbautes Blech x Blechstaerke x Dichte — Verschnitt landet im Schrott</t>
  </si>
  <si>
    <t xml:space="preserve">GN-Behaelter je Modul</t>
  </si>
  <si>
    <t xml:space="preserve">Trays je Etage x Stueckmasse</t>
  </si>
  <si>
    <t xml:space="preserve">Substrat nass je Modul</t>
  </si>
  <si>
    <t xml:space="preserve">Volumen je Modul x Dichte</t>
  </si>
  <si>
    <t xml:space="preserve">Einbauten je Modul</t>
  </si>
  <si>
    <t xml:space="preserve">Pauschale</t>
  </si>
  <si>
    <t xml:space="preserve">Masse eines bestueckten Moduls</t>
  </si>
  <si>
    <t xml:space="preserve">Summe — das traegt eine Traverse</t>
  </si>
  <si>
    <t xml:space="preserve">Rueckwandblech (netto)</t>
  </si>
  <si>
    <t xml:space="preserve">Verschnitt herausgerechnet</t>
  </si>
  <si>
    <t xml:space="preserve">Rack leer</t>
  </si>
  <si>
    <t xml:space="preserve">ohne Module</t>
  </si>
  <si>
    <t xml:space="preserve">Rack voll bestueckt</t>
  </si>
  <si>
    <t xml:space="preserve">mit den bestueckten Modulen</t>
  </si>
  <si>
    <t xml:space="preserve">Standsicherheit</t>
  </si>
  <si>
    <t xml:space="preserve">Schwerpunkthoehe Staenderwerk</t>
  </si>
  <si>
    <t xml:space="preserve">gleichmaessig verteilte Masse</t>
  </si>
  <si>
    <t xml:space="preserve">Schwerpunkthoehe der Module</t>
  </si>
  <si>
    <t xml:space="preserve">Mitte der belegten Ebenen — bei mehreren Spalten fuellt eine Ebene mehr Module</t>
  </si>
  <si>
    <t xml:space="preserve">Schwerpunkt gesamt</t>
  </si>
  <si>
    <t xml:space="preserve">massengewichtet</t>
  </si>
  <si>
    <t xml:space="preserve">Kippwinkel um die schmalste Seite</t>
  </si>
  <si>
    <t xml:space="preserve">arctan(halbe kleinste Grundrisskante / Schwerpunkthoehe) — Breite ODER Tiefe, je nachdem was kleiner ist</t>
  </si>
  <si>
    <t xml:space="preserve">Bewertung Standsicherheit</t>
  </si>
  <si>
    <t xml:space="preserve">Richtwert: unter 20 Grad gehoert ein hohes, schmales Regal an die Wand</t>
  </si>
  <si>
    <t xml:space="preserve">Traglast je Traverse</t>
  </si>
  <si>
    <t xml:space="preserve">Auslegungslast je Etagenauflage</t>
  </si>
  <si>
    <t xml:space="preserve">schwerste Ausbaustufe mit Sicherheitsbeiwert — nicht die Ist-Masse</t>
  </si>
  <si>
    <t xml:space="preserve">Stuetzweite der Traverse</t>
  </si>
  <si>
    <t xml:space="preserve">lichte Breite beim Vollring, Reihentiefe bei der Auflageschiene</t>
  </si>
  <si>
    <t xml:space="preserve">Flaechentraegheitsmoment des tragenden Profils</t>
  </si>
  <si>
    <t xml:space="preserve">mm^4</t>
  </si>
  <si>
    <t xml:space="preserve">Quadratrohr oder abgekanteter Winkel, je nach Bauart</t>
  </si>
  <si>
    <t xml:space="preserve">Durchbiegung im Auslegungsfall</t>
  </si>
  <si>
    <t xml:space="preserve">Vollring: Einzellast in Feldmitte. Auflageschiene: Gleichlast ueber die Auflagelaenge — siehe 15-Tragstruktur</t>
  </si>
  <si>
    <t xml:space="preserve">Bewertung Durchbiegung</t>
  </si>
  <si>
    <t xml:space="preserve">L/500 ist streng; fuer ein Regal genuegt es deutlich</t>
  </si>
  <si>
    <t xml:space="preserve">Massen der GN-Behaelter und Einbauten sind Schaetzwerte — nach der Beschaffung nachwiegen.</t>
  </si>
  <si>
    <t xml:space="preserve">Wie weit duerfen Elektronik- und Hydraulikschrank vom Rack entfernt stehen?</t>
  </si>
  <si>
    <t xml:space="preserve">Beide Schraenke sind frei platzierbar — aber nicht beliebig weit weg.</t>
  </si>
  <si>
    <t xml:space="preserve">Elektrisch: Spannungsabfall im 24-V-Kreis</t>
  </si>
  <si>
    <t xml:space="preserve">Strom im Leistungskreis</t>
  </si>
  <si>
    <t xml:space="preserve">aus der Leistungsbilanz</t>
  </si>
  <si>
    <t xml:space="preserve">Anteil der Kreisspannung</t>
  </si>
  <si>
    <t xml:space="preserve">Maximale einfache Leitungslaenge</t>
  </si>
  <si>
    <t xml:space="preserve">U = I x R, Hin- und Rueckleiter</t>
  </si>
  <si>
    <t xml:space="preserve">Bewertung</t>
  </si>
  <si>
    <t xml:space="preserve">Hydraulisch: Foerderhoehe und Rohrreibung</t>
  </si>
  <si>
    <t xml:space="preserve">Statische Hoehe bis zur obersten Etage</t>
  </si>
  <si>
    <t xml:space="preserve">das Wasser muss bis unter die Rackdecke</t>
  </si>
  <si>
    <t xml:space="preserve">Verbleibend fuer Reibung</t>
  </si>
  <si>
    <t xml:space="preserve">Foerderhoehe minus statische Hoehe</t>
  </si>
  <si>
    <t xml:space="preserve">Volumenstrom je Modul</t>
  </si>
  <si>
    <t xml:space="preserve">m³/s</t>
  </si>
  <si>
    <t xml:space="preserve">effektiver Duesendurchsatz</t>
  </si>
  <si>
    <t xml:space="preserve">Stroemungsgeschwindigkeit</t>
  </si>
  <si>
    <t xml:space="preserve">m/s</t>
  </si>
  <si>
    <t xml:space="preserve">Q / Querschnitt</t>
  </si>
  <si>
    <t xml:space="preserve">Reynoldszahl</t>
  </si>
  <si>
    <t xml:space="preserve">unter 2300 laminar — dann gilt Hagen-Poiseuille</t>
  </si>
  <si>
    <t xml:space="preserve">Druckverlust je Meter Schlauch</t>
  </si>
  <si>
    <t xml:space="preserve">m/m</t>
  </si>
  <si>
    <t xml:space="preserve">Hagen-Poiseuille, umgerechnet in Wassersaeule</t>
  </si>
  <si>
    <t xml:space="preserve">Maximale Schlauchlaenge</t>
  </si>
  <si>
    <t xml:space="preserve">Restfoerderhoehe / Verlust je Meter</t>
  </si>
  <si>
    <t xml:space="preserve">Die Foerderhoehe der Pumpe ist der harte Grenzwert. Sie steigt nicht mit dem Schlauchdurchmesser.</t>
  </si>
  <si>
    <t xml:space="preserve">Bei mehreren Racks am selben Schrankpaar gilt die Rechnung je Strang, nicht in Summe.</t>
  </si>
  <si>
    <t xml:space="preserve">Signalleitungen — die eigentliche Grenze</t>
  </si>
  <si>
    <t xml:space="preserve">Verbleibende Kapazitaet fuer das Kabel</t>
  </si>
  <si>
    <t xml:space="preserve">Zulaessig minus Teilnehmerkapazitaet</t>
  </si>
  <si>
    <t xml:space="preserve">Maximale I2C-Leitungslaenge</t>
  </si>
  <si>
    <t xml:space="preserve">ohne Bus-Extender</t>
  </si>
  <si>
    <t xml:space="preserve">Verhaeltnis zur Leistungsleitung</t>
  </si>
  <si>
    <t xml:space="preserve">wie viel weiter die Versorgung darf als das Signal</t>
  </si>
  <si>
    <t xml:space="preserve">Mit Bus-Extender P82B715</t>
  </si>
  <si>
    <t xml:space="preserve">entkoppelt die Buskapazitaet um Faktor 10</t>
  </si>
  <si>
    <t xml:space="preserve">Merke</t>
  </si>
  <si>
    <t xml:space="preserve">Die Leistungsleitung darf weit, die Signalleitung nicht. Wer nur den</t>
  </si>
  <si>
    <t xml:space="preserve">Spannungsabfall rechnet, stellt den Schrank zu weit weg und wundert sich</t>
  </si>
  <si>
    <t xml:space="preserve">ueber sporadische Sensorausfaelle.</t>
  </si>
  <si>
    <t xml:space="preserve">Analoge Feuchtesensoren sind noch empfindlicher: ueber 2-3 m stoeranfaellig.</t>
  </si>
  <si>
    <t xml:space="preserve">Zuschnittsliste — alle Blechteile</t>
  </si>
  <si>
    <t xml:space="preserve">Masse in mm, Flaechen in m². Bruttoflaeche enthaelt Ausschnitte als Abfall.</t>
  </si>
  <si>
    <t xml:space="preserve">Teil</t>
  </si>
  <si>
    <t xml:space="preserve">Breite</t>
  </si>
  <si>
    <t xml:space="preserve">Hoehe</t>
  </si>
  <si>
    <t xml:space="preserve">Anzahl</t>
  </si>
  <si>
    <t xml:space="preserve">Flaeche</t>
  </si>
  <si>
    <t xml:space="preserve">Bemerkung</t>
  </si>
  <si>
    <t xml:space="preserve">Modul Boden</t>
  </si>
  <si>
    <t xml:space="preserve">Huellboden, eben</t>
  </si>
  <si>
    <t xml:space="preserve">Modul Decke</t>
  </si>
  <si>
    <t xml:space="preserve">traegt die LED-Standoffs</t>
  </si>
  <si>
    <t xml:space="preserve">Modul Seitenwand</t>
  </si>
  <si>
    <t xml:space="preserve">mit Linerbolzen</t>
  </si>
  <si>
    <t xml:space="preserve">Modul Rueckwand</t>
  </si>
  <si>
    <t xml:space="preserve">Ablauf, Kupplung, Stecker, Luefter</t>
  </si>
  <si>
    <t xml:space="preserve">Modul Frontrahmen</t>
  </si>
  <si>
    <t xml:space="preserve">mit Ausschnitt fuer die Klappe</t>
  </si>
  <si>
    <t xml:space="preserve">Frontklappe</t>
  </si>
  <si>
    <t xml:space="preserve">ueberlappt umlaufend</t>
  </si>
  <si>
    <t xml:space="preserve">Modulboden geneigt</t>
  </si>
  <si>
    <t xml:space="preserve">2 Grad laengs, 1 Grad quer</t>
  </si>
  <si>
    <t xml:space="preserve">Auflageschiene aussen</t>
  </si>
  <si>
    <t xml:space="preserve">U-Profil, 2 Kantungen</t>
  </si>
  <si>
    <t xml:space="preserve">Auflageschiene innen</t>
  </si>
  <si>
    <t xml:space="preserve">U-Profil, traegt zwei Reihen</t>
  </si>
  <si>
    <t xml:space="preserve">Quertraeger</t>
  </si>
  <si>
    <t xml:space="preserve">U-Profil, tragen die Schienen</t>
  </si>
  <si>
    <t xml:space="preserve">Anschlag laengs</t>
  </si>
  <si>
    <t xml:space="preserve">seitliche Fuehrung</t>
  </si>
  <si>
    <t xml:space="preserve">Anschlag quer</t>
  </si>
  <si>
    <t xml:space="preserve">Endanschlag hinten</t>
  </si>
  <si>
    <t xml:space="preserve">Standoff</t>
  </si>
  <si>
    <t xml:space="preserve">ueberbrueckt den Freiraum Stufe 1</t>
  </si>
  <si>
    <t xml:space="preserve">Summe je Modul (netto)</t>
  </si>
  <si>
    <t xml:space="preserve">Gegenprobe 03-Modul B66</t>
  </si>
  <si>
    <t xml:space="preserve">Rack und Schraenke</t>
  </si>
  <si>
    <t xml:space="preserve">Rack Rueckwand</t>
  </si>
  <si>
    <t xml:space="preserve">Breite nach Rueckwandbauart (01-Eingaben Zeile 163)</t>
  </si>
  <si>
    <t xml:space="preserve">Elektronikschrank Wand</t>
  </si>
  <si>
    <t xml:space="preserve">Front und Rueckseite</t>
  </si>
  <si>
    <t xml:space="preserve">Elektronikschrank Deckel</t>
  </si>
  <si>
    <t xml:space="preserve">oben und unten</t>
  </si>
  <si>
    <t xml:space="preserve">Elektronikschrank Seite</t>
  </si>
  <si>
    <t xml:space="preserve">links und rechts</t>
  </si>
  <si>
    <t xml:space="preserve">Hydraulikschrank Wand</t>
  </si>
  <si>
    <t xml:space="preserve">Hydraulikschrank Deckel</t>
  </si>
  <si>
    <t xml:space="preserve">Hydraulikschrank Seite</t>
  </si>
  <si>
    <t xml:space="preserve">Summe Rack und Schraenke</t>
  </si>
  <si>
    <t xml:space="preserve">Materialbedarf</t>
  </si>
  <si>
    <t xml:space="preserve">Teileflaeche gesamt</t>
  </si>
  <si>
    <t xml:space="preserve">Module x Anzahl plus Basis</t>
  </si>
  <si>
    <t xml:space="preserve">Ausschnittabfall je Modul</t>
  </si>
  <si>
    <t xml:space="preserve">Frontoeffnung, wird herausgeschnitten</t>
  </si>
  <si>
    <t xml:space="preserve">Zuschnittflaeche gesamt</t>
  </si>
  <si>
    <t xml:space="preserve">Teile plus Ausschnitte</t>
  </si>
  <si>
    <t xml:space="preserve">Flaeche einer Blechtafel</t>
  </si>
  <si>
    <t xml:space="preserve">Standardtafel</t>
  </si>
  <si>
    <t xml:space="preserve">Tafeln rechnerisch (ohne Schachtelung)</t>
  </si>
  <si>
    <t xml:space="preserve">Zuschnittflaeche / Tafelflaeche, aufgerundet</t>
  </si>
  <si>
    <t xml:space="preserve">Tafeln real (Schachtelung 19.08.)</t>
  </si>
  <si>
    <t xml:space="preserve">Zuschnittflaeche / (Tafelflaeche x Schachtelgrad) — bei geaenderter Teilegeometrie neu schachteln</t>
  </si>
  <si>
    <t xml:space="preserve">Verschnitt bei Tafelkauf</t>
  </si>
  <si>
    <t xml:space="preserve">1 - Teileflaeche / Tafelflaeche</t>
  </si>
  <si>
    <t xml:space="preserve">Blechkosten bei Tafelkauf</t>
  </si>
  <si>
    <t xml:space="preserve">Tafeln real x Tafelflaeche x Preis</t>
  </si>
  <si>
    <t xml:space="preserve">Blechkosten bei Zuschnitt nach Mass</t>
  </si>
  <si>
    <t xml:space="preserve">Zuschnittflaeche x (1+Verschnittzuschlag) x Preis</t>
  </si>
  <si>
    <t xml:space="preserve">Differenz der Szenarien</t>
  </si>
  <si>
    <t xml:space="preserve">im Firmengespraech zu klaeren</t>
  </si>
  <si>
    <t xml:space="preserve">Wirksames Beschaffungsszenario</t>
  </si>
  <si>
    <t xml:space="preserve">Gewaehltes Szenario</t>
  </si>
  <si>
    <t xml:space="preserve">umgeschaltet in 01-Eingaben Zeile 128</t>
  </si>
  <si>
    <t xml:space="preserve">Szenariofaktor auf den Blechpreis</t>
  </si>
  <si>
    <t xml:space="preserve">1 = flaechenbasiert; Tafelkauf = bezahlte Tafelflaeche / berechnete Zuschnittflaeche</t>
  </si>
  <si>
    <t xml:space="preserve">Effektiver Blechpreis</t>
  </si>
  <si>
    <t xml:space="preserve">Listenpreis x Szenariofaktor — 10-Kosten rechnet damit</t>
  </si>
  <si>
    <t xml:space="preserve">Blechkosten Startaufbau im Szenario</t>
  </si>
  <si>
    <t xml:space="preserve">Zuschnittflaeche x Verschnitt x effektiver Preis</t>
  </si>
  <si>
    <t xml:space="preserve">10-Kosten rechnet ab jetzt mit dem effektiven Blechpreis aus Zeile 47 — nicht mehr mit dem Listenpreis.</t>
  </si>
  <si>
    <t xml:space="preserve">Szenario 1 unterstellt Zuschnitt nach Mass oder Restmaterial zum Marktpreis, Szenario 2 den Kauf ganzer Tafeln.</t>
  </si>
  <si>
    <t xml:space="preserve">Ab dem zweiten Modul sinkt der Verschnitt deutlich — Zuschnitte fuer mehrere Module zusammen machen.</t>
  </si>
  <si>
    <t xml:space="preserve">Ueber 4 Module muss neu geschachtelt werden; die Tafelzahl in Zeile 38 gilt nur bis dahin.</t>
  </si>
  <si>
    <t xml:space="preserve">Masse eines Moduls — Ist-Zustand und Ausbaureserve</t>
  </si>
  <si>
    <t xml:space="preserve">Die Modulmasse ist die Auslegungslast der Etagenauflage. Sie waechst mit jedem Ausbauschritt — deshalb wird nicht der Ist-Zustand bemessen, sondern die schwerste absehbare Stufe.</t>
  </si>
  <si>
    <t xml:space="preserve">A  Ist-Zustand — Stufe 1, wie gebaut</t>
  </si>
  <si>
    <t xml:space="preserve">Masse</t>
  </si>
  <si>
    <t xml:space="preserve">Blech Modul (netto)</t>
  </si>
  <si>
    <t xml:space="preserve">verbautes Blech x Blechstaerke x Dichte</t>
  </si>
  <si>
    <t xml:space="preserve">GN-Behaelter bestueckt</t>
  </si>
  <si>
    <t xml:space="preserve">Substrat nass</t>
  </si>
  <si>
    <t xml:space="preserve">Einbauten (LED, Luefter, Ventil, Duesen, Kabel)</t>
  </si>
  <si>
    <t xml:space="preserve">Pauschale — Gegenprobe in Abschnitt E</t>
  </si>
  <si>
    <t xml:space="preserve">Summe Ist-Zustand</t>
  </si>
  <si>
    <t xml:space="preserve">das traegt die Etagenauflage heute</t>
  </si>
  <si>
    <t xml:space="preserve">B  Was beim Ausbau dazukommt — jede Zeile fuer sich</t>
  </si>
  <si>
    <t xml:space="preserve">Teildaemmung 2b: Liner Boden und Decke</t>
  </si>
  <si>
    <t xml:space="preserve">zwei Flaechen Innenschale</t>
  </si>
  <si>
    <t xml:space="preserve">Teildaemmung 2b: Schaumglas</t>
  </si>
  <si>
    <t xml:space="preserve">Volumen x Dichte</t>
  </si>
  <si>
    <t xml:space="preserve">Volldaemmung 2: Liner rundum</t>
  </si>
  <si>
    <t xml:space="preserve">sechs Flaechen Innenschale — enthaelt 2b</t>
  </si>
  <si>
    <t xml:space="preserve">Volldaemmung 2: Schaumglas</t>
  </si>
  <si>
    <t xml:space="preserve">Volumen x Dichte — enthaelt 2b</t>
  </si>
  <si>
    <t xml:space="preserve">(Variante) Eigenes Reservoir: Wasser</t>
  </si>
  <si>
    <t xml:space="preserve">verworfen: 5 kg an einem Modul, das gezogen werden muss — siehe Befund 4x</t>
  </si>
  <si>
    <t xml:space="preserve">(Variante) Eigenes Reservoir: Behaelter</t>
  </si>
  <si>
    <t xml:space="preserve">leer</t>
  </si>
  <si>
    <t xml:space="preserve">Dezentraler Controller mit Gehaeuse</t>
  </si>
  <si>
    <t xml:space="preserve">Folge aus Befund 4o und 4r</t>
  </si>
  <si>
    <t xml:space="preserve">Erweiterte Sensorik</t>
  </si>
  <si>
    <t xml:space="preserve">Boden-EC, pH, CO2, Blatttemperatur</t>
  </si>
  <si>
    <t xml:space="preserve">Zusatzaktorik</t>
  </si>
  <si>
    <t xml:space="preserve">Dosierpumpen, CO2-Ventil, Befeuchter, Heizmatte, zweiter Luefter</t>
  </si>
  <si>
    <t xml:space="preserve">Tiefere Trays (65 statt 40 mm)</t>
  </si>
  <si>
    <t xml:space="preserve">zusaetzliche Mantelflaeche der Behaelter: Umfang x Hoehendifferenz</t>
  </si>
  <si>
    <t xml:space="preserve">Mehr Substrat (40 statt 25 mm)</t>
  </si>
  <si>
    <t xml:space="preserve">Volumen waechst proportional zur Hoehe</t>
  </si>
  <si>
    <t xml:space="preserve">C  Ausbauszenarien — kumuliert</t>
  </si>
  <si>
    <t xml:space="preserve">Was enthalten ist</t>
  </si>
  <si>
    <t xml:space="preserve">S1  Ist-Zustand</t>
  </si>
  <si>
    <t xml:space="preserve">Stufe 1, einschalig, zentrale Steuerung</t>
  </si>
  <si>
    <t xml:space="preserve">S2  + Teildaemmung 2b</t>
  </si>
  <si>
    <t xml:space="preserve">die einzige wirksame Daemmvariante, Befund 4d</t>
  </si>
  <si>
    <t xml:space="preserve">S3  + Automatisierung</t>
  </si>
  <si>
    <t xml:space="preserve">dezentraler Controller, erweiterte Sensorik und Aktorik</t>
  </si>
  <si>
    <t xml:space="preserve">S4  Vollausbau</t>
  </si>
  <si>
    <t xml:space="preserve">Volldaemmung statt 2b, Automatisierung, tiefere Trays, mehr Substrat</t>
  </si>
  <si>
    <t xml:space="preserve">V   Verworfen: eigenes Reservoir am Modul</t>
  </si>
  <si>
    <t xml:space="preserve">am 21.08. verworfen — Reservoir sitzt separat am Schrank. Zaehlt NICHT in die Auslegungslast</t>
  </si>
  <si>
    <t xml:space="preserve">D  Auslegungslast je Modulplatz</t>
  </si>
  <si>
    <t xml:space="preserve">Schwerste Ausbaustufe</t>
  </si>
  <si>
    <t xml:space="preserve">Maximum der verfolgten Szenarien — die verworfene Variante V bleibt aussen vor</t>
  </si>
  <si>
    <t xml:space="preserve">Sicherheitsbeiwert</t>
  </si>
  <si>
    <t xml:space="preserve">Zuschlag fuer Unvorhergesehenes</t>
  </si>
  <si>
    <t xml:space="preserve">Auslegungslast je Modulplatz</t>
  </si>
  <si>
    <t xml:space="preserve">damit wird die Etagenauflage bemessen</t>
  </si>
  <si>
    <t xml:space="preserve">Verhaeltnis zur Ist-Masse</t>
  </si>
  <si>
    <t xml:space="preserve">so viel Luft hat die Konstruktion nach oben</t>
  </si>
  <si>
    <t xml:space="preserve">E  Gegenprobe zur Einbautenpauschale</t>
  </si>
  <si>
    <t xml:space="preserve">LED-Profil und Streifen</t>
  </si>
  <si>
    <t xml:space="preserve">gewaehlte Streifenlaenge x rund 250 g je Meter Alu-Profil mit Streifen</t>
  </si>
  <si>
    <t xml:space="preserve">Luefter, Ventil, Duesen, Spruehleiste</t>
  </si>
  <si>
    <t xml:space="preserve">40-mm-Luefter 0,05 · Ventil 0,25 · Leiste mit Duesen 0,25</t>
  </si>
  <si>
    <t xml:space="preserve">Verkabelung, Steckverbinder, Kleinteile</t>
  </si>
  <si>
    <t xml:space="preserve">M12-Einbaustecker, Litze, Schellen</t>
  </si>
  <si>
    <t xml:space="preserve">Summe Gegenprobe</t>
  </si>
  <si>
    <t xml:space="preserve">gegen die Pauschale in 01-Eingaben Zeile 103 halten</t>
  </si>
  <si>
    <t xml:space="preserve">Abweichung zur Pauschale</t>
  </si>
  <si>
    <t xml:space="preserve">negativ = Pauschale liegt ueber der Einzelaufstellung, also auf der sicheren Seite</t>
  </si>
  <si>
    <t xml:space="preserve">Alle Massen ausser Blech und Substrat sind Schaetzwerte. Nach der Beschaffung nachwiegen und hier ersetzen —</t>
  </si>
  <si>
    <t xml:space="preserve">dann wird aus der Auslegungslast eine gemessene Groesse. Bis dahin traegt der Sicherheitsbeiwert die Unsicherheit.</t>
  </si>
  <si>
    <t xml:space="preserve">Tragstruktur — Vollring gegen Fachwerk</t>
  </si>
  <si>
    <t xml:space="preserve">Bauart 1 traegt jedes Modul auf einem umlaufenden Ring. Bauart 2 ersetzt die mittleren Ringe durch leichte Auflageschienen und faengt die Aussteifung mit Diagonalen ab.</t>
  </si>
  <si>
    <t xml:space="preserve">A  Bauteile je Bauart</t>
  </si>
  <si>
    <t xml:space="preserve">Gewaehlte Bauart</t>
  </si>
  <si>
    <t xml:space="preserve">umgeschaltet in 01-Eingaben Zeile 151</t>
  </si>
  <si>
    <t xml:space="preserve">Traversenringe aus Vierkantrohr</t>
  </si>
  <si>
    <t xml:space="preserve">Bauart 2 behaelt nur Boden- und Kopfring</t>
  </si>
  <si>
    <t xml:space="preserve">Auflageschienen gesamt</t>
  </si>
  <si>
    <t xml:space="preserve">zwei je Modulplatz, in Auszugsrichtung</t>
  </si>
  <si>
    <t xml:space="preserve">Stuetzweite einer Auflageschiene</t>
  </si>
  <si>
    <t xml:space="preserve">lichter Abstand zwischen zwei Staenderreihen</t>
  </si>
  <si>
    <t xml:space="preserve">Diagonalen im Verband</t>
  </si>
  <si>
    <t xml:space="preserve">zwei je Seitenebene; zwei zusaetzlich in der Rueckebene, wenn dort keine Blechscheibe mehr sitzt</t>
  </si>
  <si>
    <t xml:space="preserve">Hoehe der verspannten Ebene</t>
  </si>
  <si>
    <t xml:space="preserve">zwischen Boden- und Kopfring</t>
  </si>
  <si>
    <t xml:space="preserve">Breite der verspannten Ebene</t>
  </si>
  <si>
    <t xml:space="preserve">Racktiefe abzueglich der Staender</t>
  </si>
  <si>
    <t xml:space="preserve">Mittlere Laenge einer Diagonale</t>
  </si>
  <si>
    <t xml:space="preserve">Seitenebenen ueber die Racktiefe, Rueckebene ueber die lichte Breite — gemittelt</t>
  </si>
  <si>
    <t xml:space="preserve">Aussteifende Ebenen</t>
  </si>
  <si>
    <t xml:space="preserve">die Vorderseite bleibt immer frei — dort fahren die Module heraus</t>
  </si>
  <si>
    <t xml:space="preserve">B  Auflageschiene — Nachweis  (Bauart 2; bei Bauart 1 traegt der Vollring, Nachweis in 11-Massen-Statik)</t>
  </si>
  <si>
    <t xml:space="preserve">schwerste Ausbaustufe mit Sicherheitsbeiwert</t>
  </si>
  <si>
    <t xml:space="preserve">Last je Schiene</t>
  </si>
  <si>
    <t xml:space="preserve">N</t>
  </si>
  <si>
    <t xml:space="preserve">zwei Schienen teilen sich das Modul</t>
  </si>
  <si>
    <t xml:space="preserve">Querschnittsflaeche Winkel</t>
  </si>
  <si>
    <t xml:space="preserve">gleichschenklig, abgekantet</t>
  </si>
  <si>
    <t xml:space="preserve">Schwerpunktabstand von der Auflageflaeche</t>
  </si>
  <si>
    <t xml:space="preserve">Flaechenmoment erster Ordnung</t>
  </si>
  <si>
    <t xml:space="preserve">Flaechentraegheitsmoment</t>
  </si>
  <si>
    <t xml:space="preserve">mm⁴</t>
  </si>
  <si>
    <t xml:space="preserve">Steiner an beiden Schenkeln</t>
  </si>
  <si>
    <t xml:space="preserve">Widerstandsmoment</t>
  </si>
  <si>
    <t xml:space="preserve">mm³</t>
  </si>
  <si>
    <t xml:space="preserve">auf die gezogene Faser bezogen</t>
  </si>
  <si>
    <t xml:space="preserve">Durchbiegung bei Gleichlast</t>
  </si>
  <si>
    <t xml:space="preserve">5FL³/384EI, E = 200 GPa</t>
  </si>
  <si>
    <t xml:space="preserve">Grenzwert L/500</t>
  </si>
  <si>
    <t xml:space="preserve">strenge Grenze fuer Regale</t>
  </si>
  <si>
    <t xml:space="preserve">Biegemoment</t>
  </si>
  <si>
    <t xml:space="preserve">Nmm</t>
  </si>
  <si>
    <t xml:space="preserve">Gleichlast, gelenkig gelagert</t>
  </si>
  <si>
    <t xml:space="preserve">Biegespannung</t>
  </si>
  <si>
    <t xml:space="preserve">M / W</t>
  </si>
  <si>
    <t xml:space="preserve">Sicherheit gegen Streckgrenze</t>
  </si>
  <si>
    <t xml:space="preserve">Streckgrenze / vorhandene Spannung</t>
  </si>
  <si>
    <t xml:space="preserve">Bewertung Tragfaehigkeit</t>
  </si>
  <si>
    <t xml:space="preserve">C  Diagonalverband — Nachweis</t>
  </si>
  <si>
    <t xml:space="preserve">Masse Rack im Auslegungsfall</t>
  </si>
  <si>
    <t xml:space="preserve">leeres Rack plus alle Plaetze mit Auslegungslast</t>
  </si>
  <si>
    <t xml:space="preserve">Horizontale Ersatzlast</t>
  </si>
  <si>
    <t xml:space="preserve">Anteil der Gewichtskraft, Schieflage und Anstossen</t>
  </si>
  <si>
    <t xml:space="preserve">Zugkraft in einer Diagonale</t>
  </si>
  <si>
    <t xml:space="preserve">je Seitenebene die Haelfte, umgerechnet auf die Diagonalrichtung</t>
  </si>
  <si>
    <t xml:space="preserve">Tragreserve Seil</t>
  </si>
  <si>
    <t xml:space="preserve">Bruchkraft / Sicherheitsbeiwert</t>
  </si>
  <si>
    <t xml:space="preserve">Tragreserve Flachband</t>
  </si>
  <si>
    <t xml:space="preserve">Querschnitt x Streckgrenze / Sicherheitsbeiwert</t>
  </si>
  <si>
    <t xml:space="preserve">Gewaehlte Diagonalart</t>
  </si>
  <si>
    <t xml:space="preserve">Vorhandene Tragreserve</t>
  </si>
  <si>
    <t xml:space="preserve">Ausnutzung</t>
  </si>
  <si>
    <t xml:space="preserve">Bewertung Verband</t>
  </si>
  <si>
    <t xml:space="preserve">D  Materialbilanz der beiden Bauarten</t>
  </si>
  <si>
    <t xml:space="preserve">Vierkantrohr</t>
  </si>
  <si>
    <t xml:space="preserve">Profillaenge der gewaehlten Bauart</t>
  </si>
  <si>
    <t xml:space="preserve">Masse Vierkantrohr</t>
  </si>
  <si>
    <t xml:space="preserve">Kosten Vierkantrohr</t>
  </si>
  <si>
    <t xml:space="preserve">Abgewickelte Breite Auflagewinkel</t>
  </si>
  <si>
    <t xml:space="preserve">Blechflaeche Auflageschienen</t>
  </si>
  <si>
    <t xml:space="preserve">Masse Auflageschienen</t>
  </si>
  <si>
    <t xml:space="preserve">Kosten Auflageschienen</t>
  </si>
  <si>
    <t xml:space="preserve">mit Verschnitt, zum effektiven Blechpreis</t>
  </si>
  <si>
    <t xml:space="preserve">Laenge Diagonalen</t>
  </si>
  <si>
    <t xml:space="preserve">Masse Diagonalen</t>
  </si>
  <si>
    <t xml:space="preserve">Seil mit Fuellgrad 0,5; Flachband voll</t>
  </si>
  <si>
    <t xml:space="preserve">Kosten Diagonalen</t>
  </si>
  <si>
    <t xml:space="preserve">Seil plus ein Spannschloss je Diagonale, oder Blechstreifen</t>
  </si>
  <si>
    <t xml:space="preserve">Masse Staenderwerk gesamt</t>
  </si>
  <si>
    <t xml:space="preserve">Rohr, Schienen und Verband</t>
  </si>
  <si>
    <t xml:space="preserve">Kosten Staenderwerk gesamt</t>
  </si>
  <si>
    <t xml:space="preserve">Aussenbreite inkl. Verband</t>
  </si>
  <si>
    <t xml:space="preserve">Die Diagonalen sitzen aussen auf den Staendern — kollisionsfrei und von aussen loesbar</t>
  </si>
  <si>
    <t xml:space="preserve">Aussentiefe inkl. Verband</t>
  </si>
  <si>
    <t xml:space="preserve">Rueckdiagonalen liegen hinter der hinteren Staenderebene</t>
  </si>
  <si>
    <t xml:space="preserve">Stellflaeche inkl. Verband</t>
  </si>
  <si>
    <t xml:space="preserve">gegen 04-Rack Zeile 15 halten — Unterschied unter 1 %</t>
  </si>
  <si>
    <t xml:space="preserve">Die Vorderseite bleibt in beiden Faellen unverspannt — dort fahren die Module heraus. Die Rueckwand ist die aussteifende Scheibe der Querrichtung.</t>
  </si>
  <si>
    <t xml:space="preserve">E  Zweiter Lastfall — jemand stuetzt sich am Rack ab</t>
  </si>
  <si>
    <t xml:space="preserve">Anstoss- oder Stuetzkraft</t>
  </si>
  <si>
    <t xml:space="preserve">erwachsene Person lehnt sich seitlich an — der Fall, der wirklich vorkommt</t>
  </si>
  <si>
    <t xml:space="preserve">gleiche Umrechnung wie in Abschnitt C</t>
  </si>
  <si>
    <t xml:space="preserve">Kippmoment aus dieser Kraft</t>
  </si>
  <si>
    <t xml:space="preserve">Nm</t>
  </si>
  <si>
    <t xml:space="preserve">am oberen Rand angesetzt</t>
  </si>
  <si>
    <t xml:space="preserve">Rueckstellendes Moment</t>
  </si>
  <si>
    <t xml:space="preserve">Gewicht mal halbe kleinste Grundrisskante</t>
  </si>
  <si>
    <t xml:space="preserve">Sicherheit gegen Kippen</t>
  </si>
  <si>
    <t xml:space="preserve">Bewertung Kippen</t>
  </si>
  <si>
    <t xml:space="preserve">Parameteruebergabe an die CAD-Dateien</t>
  </si>
  <si>
    <t xml:space="preserve">Dieses Blatt ist die Schnittstelle. Das FreeCAD-Makro MikrogruenParameter_Sync liest es direkt aus dieser Datei und schreibt die Werte in jedes offene CAD-Dokument.</t>
  </si>
  <si>
    <t xml:space="preserve">NUR Eingangsgroessen. Abgeleitete Masse bleiben im CAD Ausdruecke und werden nicht ueberschrieben. Neue Zeile hier = neuer Parameter im CAD.</t>
  </si>
  <si>
    <t xml:space="preserve">Alias im CAD</t>
  </si>
  <si>
    <t xml:space="preserve">Quellblatt</t>
  </si>
  <si>
    <t xml:space="preserve">Zelle</t>
  </si>
  <si>
    <t xml:space="preserve">tray_L</t>
  </si>
  <si>
    <t xml:space="preserve">B9</t>
  </si>
  <si>
    <t xml:space="preserve">Traylaenge aus der GN-Norm</t>
  </si>
  <si>
    <t xml:space="preserve">tray_B</t>
  </si>
  <si>
    <t xml:space="preserve">B10</t>
  </si>
  <si>
    <t xml:space="preserve">Traybreite aus der GN-Norm</t>
  </si>
  <si>
    <t xml:space="preserve">tray_h</t>
  </si>
  <si>
    <t xml:space="preserve">B6</t>
  </si>
  <si>
    <t xml:space="preserve">Trayhoehe</t>
  </si>
  <si>
    <t xml:space="preserve">n_trays</t>
  </si>
  <si>
    <t xml:space="preserve">B7</t>
  </si>
  <si>
    <t xml:space="preserve">n_spalten</t>
  </si>
  <si>
    <t xml:space="preserve">B8</t>
  </si>
  <si>
    <t xml:space="preserve">fuegespalt</t>
  </si>
  <si>
    <t xml:space="preserve">wandabstand</t>
  </si>
  <si>
    <t xml:space="preserve">B11</t>
  </si>
  <si>
    <t xml:space="preserve">schiene_h</t>
  </si>
  <si>
    <t xml:space="preserve">B12</t>
  </si>
  <si>
    <t xml:space="preserve">Hoehe Trayauflageschiene</t>
  </si>
  <si>
    <t xml:space="preserve">pflanzenhoehe</t>
  </si>
  <si>
    <t xml:space="preserve">B15</t>
  </si>
  <si>
    <t xml:space="preserve">max. Pflanzenhoehe</t>
  </si>
  <si>
    <t xml:space="preserve">led_abstand</t>
  </si>
  <si>
    <t xml:space="preserve">B16</t>
  </si>
  <si>
    <t xml:space="preserve">led_bauhoehe</t>
  </si>
  <si>
    <t xml:space="preserve">B17</t>
  </si>
  <si>
    <t xml:space="preserve">Bauhoehe LED</t>
  </si>
  <si>
    <t xml:space="preserve">reserve_h</t>
  </si>
  <si>
    <t xml:space="preserve">B18</t>
  </si>
  <si>
    <t xml:space="preserve">substrat_h</t>
  </si>
  <si>
    <t xml:space="preserve">B19</t>
  </si>
  <si>
    <t xml:space="preserve">blech</t>
  </si>
  <si>
    <t xml:space="preserve">B36</t>
  </si>
  <si>
    <t xml:space="preserve">daemm_ausleg</t>
  </si>
  <si>
    <t xml:space="preserve">B37</t>
  </si>
  <si>
    <t xml:space="preserve">n_etagen</t>
  </si>
  <si>
    <t xml:space="preserve">B22</t>
  </si>
  <si>
    <t xml:space="preserve">rastermass</t>
  </si>
  <si>
    <t xml:space="preserve">B24</t>
  </si>
  <si>
    <t xml:space="preserve">Lochrasterteilung</t>
  </si>
  <si>
    <t xml:space="preserve">fuehrungsspiel</t>
  </si>
  <si>
    <t xml:space="preserve">B25</t>
  </si>
  <si>
    <t xml:space="preserve">Spiel Modul zu Staender</t>
  </si>
  <si>
    <t xml:space="preserve">profil</t>
  </si>
  <si>
    <t xml:space="preserve">B26</t>
  </si>
  <si>
    <t xml:space="preserve">sockel_h</t>
  </si>
  <si>
    <t xml:space="preserve">B27</t>
  </si>
  <si>
    <t xml:space="preserve">schnittstelle_t</t>
  </si>
  <si>
    <t xml:space="preserve">B92</t>
  </si>
  <si>
    <t xml:space="preserve">strang_t</t>
  </si>
  <si>
    <t xml:space="preserve">B93</t>
  </si>
  <si>
    <t xml:space="preserve">anschlussfeld_h</t>
  </si>
  <si>
    <t xml:space="preserve">B94</t>
  </si>
  <si>
    <t xml:space="preserve">eschrank_b</t>
  </si>
  <si>
    <t xml:space="preserve">B30</t>
  </si>
  <si>
    <t xml:space="preserve">hschrank_b</t>
  </si>
  <si>
    <t xml:space="preserve">B32</t>
  </si>
  <si>
    <t xml:space="preserve">n_module</t>
  </si>
  <si>
    <t xml:space="preserve">B96</t>
  </si>
  <si>
    <t xml:space="preserve">bestueckte Module</t>
  </si>
  <si>
    <t xml:space="preserve">n_rack_x</t>
  </si>
  <si>
    <t xml:space="preserve">B133</t>
  </si>
  <si>
    <t xml:space="preserve">Modulspalten (X)</t>
  </si>
  <si>
    <t xml:space="preserve">n_rack_y</t>
  </si>
  <si>
    <t xml:space="preserve">B134</t>
  </si>
  <si>
    <t xml:space="preserve">Modulreihen (Y)</t>
  </si>
  <si>
    <t xml:space="preserve">ruecksprung</t>
  </si>
  <si>
    <t xml:space="preserve">B114</t>
  </si>
  <si>
    <t xml:space="preserve">Ruecksprung GN-Koerper</t>
  </si>
  <si>
    <t xml:space="preserve">anschlag_h</t>
  </si>
  <si>
    <t xml:space="preserve">B115</t>
  </si>
  <si>
    <t xml:space="preserve">bauart</t>
  </si>
  <si>
    <t xml:space="preserve">B151</t>
  </si>
  <si>
    <t xml:space="preserve">1 Vollring, 2 Auflage + Verband</t>
  </si>
  <si>
    <t xml:space="preserve">schiene_b</t>
  </si>
  <si>
    <t xml:space="preserve">B152</t>
  </si>
  <si>
    <t xml:space="preserve">schiene_t</t>
  </si>
  <si>
    <t xml:space="preserve">B153</t>
  </si>
  <si>
    <t xml:space="preserve">diag_b</t>
  </si>
  <si>
    <t xml:space="preserve">B159</t>
  </si>
  <si>
    <t xml:space="preserve">Breite Diagonalflachband</t>
  </si>
  <si>
    <t xml:space="preserve">diag_t</t>
  </si>
  <si>
    <t xml:space="preserve">Blechstaerke Diagonalflachband</t>
  </si>
  <si>
    <t xml:space="preserve">rueckwand</t>
  </si>
  <si>
    <t xml:space="preserve">B163</t>
  </si>
  <si>
    <t xml:space="preserve">1 voll, 2 Kanalstreifen, 3 offen</t>
  </si>
  <si>
    <t xml:space="preserve">lauf_b</t>
  </si>
  <si>
    <t xml:space="preserve">B170</t>
  </si>
  <si>
    <t xml:space="preserve">lauf_h</t>
  </si>
  <si>
    <t xml:space="preserve">B171</t>
  </si>
  <si>
    <t xml:space="preserve">lauf_t</t>
  </si>
  <si>
    <t xml:space="preserve">B172</t>
  </si>
  <si>
    <t xml:space="preserve">kipphaken_h</t>
  </si>
  <si>
    <t xml:space="preserve">B173</t>
  </si>
  <si>
    <t xml:space="preserve">rolle_d</t>
  </si>
  <si>
    <t xml:space="preserve">B174</t>
  </si>
  <si>
    <t xml:space="preserve">rolle_b</t>
  </si>
  <si>
    <t xml:space="preserve">B175</t>
  </si>
  <si>
    <t xml:space="preserve">n_rollen</t>
  </si>
  <si>
    <t xml:space="preserve">B176</t>
  </si>
  <si>
    <t xml:space="preserve">wanne_h</t>
  </si>
  <si>
    <t xml:space="preserve">B181</t>
  </si>
  <si>
    <t xml:space="preserve">wanne_r</t>
  </si>
  <si>
    <t xml:space="preserve">B182</t>
  </si>
  <si>
    <t xml:space="preserve">wanne_spiel</t>
  </si>
  <si>
    <t xml:space="preserve">B183</t>
  </si>
  <si>
    <t xml:space="preserve">Innenwanne: Spiel zur Modulwand</t>
  </si>
  <si>
    <t xml:space="preserve">kragen_h</t>
  </si>
  <si>
    <t xml:space="preserve">B184</t>
  </si>
  <si>
    <t xml:space="preserve">schale_r</t>
  </si>
  <si>
    <t xml:space="preserve">B185</t>
  </si>
  <si>
    <t xml:space="preserve">bodenneigung</t>
  </si>
  <si>
    <t xml:space="preserve">B186</t>
  </si>
  <si>
    <t xml:space="preserve">Bodenneigung laengs in Grad</t>
  </si>
  <si>
    <t xml:space="preserve">quergefaelle</t>
  </si>
  <si>
    <t xml:space="preserve">B187</t>
  </si>
  <si>
    <t xml:space="preserve">Bodenneigung quer in Grad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</si>
</sst>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@"/>
    <numFmt numFmtId="167" formatCode="0"/>
    <numFmt numFmtId="168" formatCode="0.000"/>
    <numFmt numFmtId="169" formatCode="0.0%"/>
    <numFmt numFmtId="170" formatCode="0.00"/>
    <numFmt numFmtId="171" formatCode="0.0000"/>
    <numFmt numFmtId="172" formatCode="#,##0.00"/>
    <numFmt numFmtId="173" formatCode="General"/>
    <numFmt numFmtId="174" formatCode="0.#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C0E8C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0E8C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64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3"/>
      <c r="B4" s="3" t="s">
        <v>3</v>
      </c>
    </row>
    <row r="5" customFormat="false" ht="15" hidden="false" customHeight="true" outlineLevel="0" collapsed="false">
      <c r="A5" s="3"/>
      <c r="B5" s="3" t="s">
        <v>4</v>
      </c>
    </row>
    <row r="7" customFormat="false" ht="15" hidden="false" customHeight="true" outlineLevel="0" collapsed="false">
      <c r="A7" s="4" t="s">
        <v>5</v>
      </c>
      <c r="B7" s="4"/>
      <c r="C7" s="4"/>
      <c r="D7" s="4"/>
    </row>
    <row r="8" customFormat="false" ht="15" hidden="false" customHeight="true" outlineLevel="0" collapsed="false">
      <c r="A8" s="3" t="s">
        <v>6</v>
      </c>
      <c r="B8" s="3" t="s">
        <v>7</v>
      </c>
    </row>
    <row r="9" customFormat="false" ht="15" hidden="false" customHeight="true" outlineLevel="0" collapsed="false">
      <c r="A9" s="3" t="s">
        <v>8</v>
      </c>
      <c r="B9" s="3" t="s">
        <v>9</v>
      </c>
    </row>
    <row r="10" customFormat="false" ht="15" hidden="false" customHeight="true" outlineLevel="0" collapsed="false">
      <c r="A10" s="3" t="s">
        <v>10</v>
      </c>
      <c r="B10" s="3" t="s">
        <v>11</v>
      </c>
    </row>
    <row r="11" customFormat="false" ht="15" hidden="false" customHeight="true" outlineLevel="0" collapsed="false">
      <c r="A11" s="3" t="s">
        <v>12</v>
      </c>
      <c r="B11" s="3" t="s">
        <v>13</v>
      </c>
    </row>
    <row r="13" customFormat="false" ht="15" hidden="false" customHeight="true" outlineLevel="0" collapsed="false">
      <c r="A13" s="4" t="s">
        <v>14</v>
      </c>
      <c r="B13" s="4"/>
      <c r="C13" s="4"/>
      <c r="D13" s="4"/>
    </row>
    <row r="14" customFormat="false" ht="15" hidden="false" customHeight="true" outlineLevel="0" collapsed="false">
      <c r="A14" s="3" t="s">
        <v>15</v>
      </c>
      <c r="B14" s="3" t="s">
        <v>16</v>
      </c>
    </row>
    <row r="15" customFormat="false" ht="15" hidden="false" customHeight="true" outlineLevel="0" collapsed="false">
      <c r="A15" s="3" t="s">
        <v>17</v>
      </c>
      <c r="B15" s="3" t="s">
        <v>18</v>
      </c>
    </row>
    <row r="16" customFormat="false" ht="15" hidden="false" customHeight="true" outlineLevel="0" collapsed="false">
      <c r="A16" s="3" t="s">
        <v>19</v>
      </c>
      <c r="B16" s="3" t="s">
        <v>20</v>
      </c>
    </row>
    <row r="17" customFormat="false" ht="15" hidden="false" customHeight="true" outlineLevel="0" collapsed="false">
      <c r="A17" s="3" t="s">
        <v>21</v>
      </c>
      <c r="B17" s="3" t="s">
        <v>22</v>
      </c>
    </row>
    <row r="18" customFormat="false" ht="15" hidden="false" customHeight="true" outlineLevel="0" collapsed="false">
      <c r="A18" s="3" t="s">
        <v>23</v>
      </c>
      <c r="B18" s="3" t="s">
        <v>24</v>
      </c>
    </row>
    <row r="19" customFormat="false" ht="15" hidden="false" customHeight="true" outlineLevel="0" collapsed="false">
      <c r="A19" s="3" t="s">
        <v>25</v>
      </c>
      <c r="B19" s="3" t="s">
        <v>26</v>
      </c>
    </row>
    <row r="20" customFormat="false" ht="15" hidden="false" customHeight="true" outlineLevel="0" collapsed="false">
      <c r="A20" s="3" t="s">
        <v>27</v>
      </c>
      <c r="B20" s="3" t="s">
        <v>28</v>
      </c>
    </row>
    <row r="21" customFormat="false" ht="15" hidden="false" customHeight="true" outlineLevel="0" collapsed="false">
      <c r="A21" s="3" t="s">
        <v>29</v>
      </c>
      <c r="B21" s="3" t="s">
        <v>30</v>
      </c>
    </row>
    <row r="22" customFormat="false" ht="15" hidden="false" customHeight="true" outlineLevel="0" collapsed="false">
      <c r="A22" s="3" t="s">
        <v>31</v>
      </c>
      <c r="B22" s="3" t="s">
        <v>32</v>
      </c>
    </row>
    <row r="23" customFormat="false" ht="15" hidden="false" customHeight="true" outlineLevel="0" collapsed="false">
      <c r="A23" s="3" t="s">
        <v>33</v>
      </c>
      <c r="B23" s="3" t="s">
        <v>34</v>
      </c>
    </row>
    <row r="25" customFormat="false" ht="15" hidden="false" customHeight="true" outlineLevel="0" collapsed="false">
      <c r="A25" s="4" t="s">
        <v>35</v>
      </c>
      <c r="B25" s="4"/>
      <c r="C25" s="4"/>
      <c r="D25" s="4"/>
    </row>
    <row r="26" customFormat="false" ht="15" hidden="false" customHeight="true" outlineLevel="0" collapsed="false">
      <c r="A26" s="3" t="s">
        <v>36</v>
      </c>
      <c r="B26" s="3" t="s">
        <v>37</v>
      </c>
    </row>
    <row r="27" customFormat="false" ht="15" hidden="false" customHeight="true" outlineLevel="0" collapsed="false">
      <c r="A27" s="3" t="s">
        <v>38</v>
      </c>
      <c r="B27" s="3" t="s">
        <v>39</v>
      </c>
    </row>
    <row r="28" customFormat="false" ht="15" hidden="false" customHeight="true" outlineLevel="0" collapsed="false">
      <c r="A28" s="3" t="s">
        <v>40</v>
      </c>
      <c r="B28" s="3" t="s">
        <v>41</v>
      </c>
    </row>
    <row r="29" customFormat="false" ht="15" hidden="false" customHeight="true" outlineLevel="0" collapsed="false">
      <c r="A29" s="3"/>
      <c r="B29" s="3" t="s">
        <v>42</v>
      </c>
    </row>
    <row r="31" customFormat="false" ht="15" hidden="false" customHeight="true" outlineLevel="0" collapsed="false">
      <c r="A31" s="4" t="s">
        <v>43</v>
      </c>
      <c r="B31" s="4"/>
      <c r="C31" s="4"/>
      <c r="D31" s="4"/>
    </row>
    <row r="32" customFormat="false" ht="15" hidden="false" customHeight="true" outlineLevel="0" collapsed="false">
      <c r="A32" s="3" t="s">
        <v>44</v>
      </c>
      <c r="B32" s="3" t="s">
        <v>45</v>
      </c>
      <c r="D32" s="5" t="s">
        <v>46</v>
      </c>
    </row>
    <row r="33" customFormat="false" ht="15" hidden="false" customHeight="true" outlineLevel="0" collapsed="false">
      <c r="A33" s="3" t="s">
        <v>47</v>
      </c>
      <c r="B33" s="3" t="s">
        <v>48</v>
      </c>
      <c r="D33" s="5" t="s">
        <v>49</v>
      </c>
    </row>
    <row r="34" customFormat="false" ht="15" hidden="false" customHeight="true" outlineLevel="0" collapsed="false">
      <c r="A34" s="3" t="s">
        <v>50</v>
      </c>
      <c r="B34" s="3" t="s">
        <v>51</v>
      </c>
      <c r="D34" s="5" t="s">
        <v>52</v>
      </c>
    </row>
    <row r="35" customFormat="false" ht="15" hidden="false" customHeight="true" outlineLevel="0" collapsed="false">
      <c r="A35" s="3" t="s">
        <v>53</v>
      </c>
      <c r="B35" s="3" t="s">
        <v>54</v>
      </c>
      <c r="D35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8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55</v>
      </c>
    </row>
    <row r="3" customFormat="false" ht="15" hidden="false" customHeight="true" outlineLevel="0" collapsed="false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</row>
    <row r="4" customFormat="false" ht="15" hidden="false" customHeight="true" outlineLevel="0" collapsed="false">
      <c r="A4" s="3" t="s">
        <v>61</v>
      </c>
      <c r="B4" s="3" t="n">
        <v>650</v>
      </c>
      <c r="C4" s="3" t="n">
        <v>530</v>
      </c>
      <c r="D4" s="7" t="n">
        <f aca="false">B4*C4/100</f>
        <v>3445</v>
      </c>
      <c r="E4" s="5" t="s">
        <v>62</v>
      </c>
    </row>
    <row r="5" customFormat="false" ht="15" hidden="false" customHeight="true" outlineLevel="0" collapsed="false">
      <c r="A5" s="3" t="s">
        <v>63</v>
      </c>
      <c r="B5" s="3" t="n">
        <v>530</v>
      </c>
      <c r="C5" s="3" t="n">
        <v>325</v>
      </c>
      <c r="D5" s="7" t="n">
        <f aca="false">B5*C5/100</f>
        <v>1722.5</v>
      </c>
      <c r="E5" s="5" t="s">
        <v>64</v>
      </c>
    </row>
    <row r="6" customFormat="false" ht="15" hidden="false" customHeight="true" outlineLevel="0" collapsed="false">
      <c r="A6" s="3" t="s">
        <v>65</v>
      </c>
      <c r="B6" s="3" t="n">
        <v>325</v>
      </c>
      <c r="C6" s="3" t="n">
        <v>265</v>
      </c>
      <c r="D6" s="7" t="n">
        <f aca="false">B6*C6/100</f>
        <v>861.25</v>
      </c>
      <c r="E6" s="5"/>
    </row>
    <row r="7" customFormat="false" ht="15" hidden="false" customHeight="true" outlineLevel="0" collapsed="false">
      <c r="A7" s="3" t="s">
        <v>66</v>
      </c>
      <c r="B7" s="3" t="n">
        <v>354</v>
      </c>
      <c r="C7" s="3" t="n">
        <v>325</v>
      </c>
      <c r="D7" s="7" t="n">
        <f aca="false">B7*C7/100</f>
        <v>1150.5</v>
      </c>
      <c r="E7" s="5"/>
    </row>
    <row r="8" customFormat="false" ht="15" hidden="false" customHeight="true" outlineLevel="0" collapsed="false">
      <c r="A8" s="3" t="s">
        <v>67</v>
      </c>
      <c r="B8" s="3" t="n">
        <v>325</v>
      </c>
      <c r="C8" s="3" t="n">
        <v>176</v>
      </c>
      <c r="D8" s="7" t="n">
        <f aca="false">B8*C8/100</f>
        <v>572</v>
      </c>
      <c r="E8" s="5"/>
    </row>
    <row r="9" customFormat="false" ht="15" hidden="false" customHeight="true" outlineLevel="0" collapsed="false">
      <c r="A9" s="3" t="s">
        <v>68</v>
      </c>
      <c r="B9" s="3" t="n">
        <v>265</v>
      </c>
      <c r="C9" s="3" t="n">
        <v>162</v>
      </c>
      <c r="D9" s="7" t="n">
        <f aca="false">B9*C9/100</f>
        <v>429.3</v>
      </c>
      <c r="E9" s="5"/>
    </row>
    <row r="10" customFormat="false" ht="15" hidden="false" customHeight="true" outlineLevel="0" collapsed="false">
      <c r="A10" s="3" t="s">
        <v>69</v>
      </c>
      <c r="B10" s="3" t="n">
        <v>176</v>
      </c>
      <c r="C10" s="3" t="n">
        <v>162</v>
      </c>
      <c r="D10" s="7" t="n">
        <f aca="false">B10*C10/100</f>
        <v>285.12</v>
      </c>
      <c r="E10" s="5"/>
    </row>
    <row r="11" customFormat="false" ht="15" hidden="false" customHeight="true" outlineLevel="0" collapsed="false">
      <c r="A11" s="3" t="s">
        <v>48</v>
      </c>
      <c r="B11" s="3" t="n">
        <v>176</v>
      </c>
      <c r="C11" s="3" t="n">
        <v>108</v>
      </c>
      <c r="D11" s="7" t="n">
        <f aca="false">B11*C11/100</f>
        <v>190.08</v>
      </c>
      <c r="E11" s="5" t="s">
        <v>70</v>
      </c>
    </row>
    <row r="13" customFormat="false" ht="15" hidden="false" customHeight="true" outlineLevel="0" collapsed="false">
      <c r="A13" s="3" t="s">
        <v>71</v>
      </c>
      <c r="B13" s="3" t="s">
        <v>72</v>
      </c>
    </row>
    <row r="14" customFormat="false" ht="15" hidden="false" customHeight="true" outlineLevel="0" collapsed="false">
      <c r="A14" s="3" t="s">
        <v>73</v>
      </c>
      <c r="B14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75</v>
      </c>
    </row>
    <row r="3" customFormat="false" ht="15" hidden="false" customHeight="true" outlineLevel="0" collapsed="false">
      <c r="A3" s="4" t="s">
        <v>76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78</v>
      </c>
    </row>
    <row r="5" customFormat="false" ht="15" hidden="false" customHeight="true" outlineLevel="0" collapsed="false">
      <c r="A5" s="3" t="s">
        <v>47</v>
      </c>
      <c r="B5" s="8" t="s">
        <v>48</v>
      </c>
      <c r="C5" s="3" t="s">
        <v>79</v>
      </c>
      <c r="D5" s="5" t="s">
        <v>80</v>
      </c>
    </row>
    <row r="6" customFormat="false" ht="15" hidden="false" customHeight="true" outlineLevel="0" collapsed="false">
      <c r="A6" s="3" t="s">
        <v>81</v>
      </c>
      <c r="B6" s="9" t="n">
        <v>40</v>
      </c>
      <c r="C6" s="3" t="s">
        <v>82</v>
      </c>
      <c r="D6" s="5" t="s">
        <v>83</v>
      </c>
    </row>
    <row r="7" customFormat="false" ht="15" hidden="false" customHeight="true" outlineLevel="0" collapsed="false">
      <c r="A7" s="3" t="s">
        <v>50</v>
      </c>
      <c r="B7" s="9" t="n">
        <v>6</v>
      </c>
      <c r="C7" s="3" t="s">
        <v>84</v>
      </c>
      <c r="D7" s="5" t="s">
        <v>85</v>
      </c>
    </row>
    <row r="8" customFormat="false" ht="15" hidden="false" customHeight="true" outlineLevel="0" collapsed="false">
      <c r="A8" s="3" t="s">
        <v>86</v>
      </c>
      <c r="B8" s="9" t="n">
        <v>2</v>
      </c>
      <c r="C8" s="3" t="s">
        <v>84</v>
      </c>
      <c r="D8" s="5" t="s">
        <v>87</v>
      </c>
    </row>
    <row r="9" customFormat="false" ht="15" hidden="false" customHeight="true" outlineLevel="0" collapsed="false">
      <c r="A9" s="3" t="s">
        <v>88</v>
      </c>
      <c r="B9" s="9" t="n">
        <v>1</v>
      </c>
      <c r="C9" s="3" t="s">
        <v>89</v>
      </c>
      <c r="D9" s="5" t="s">
        <v>90</v>
      </c>
    </row>
    <row r="10" customFormat="false" ht="15" hidden="false" customHeight="true" outlineLevel="0" collapsed="false">
      <c r="A10" s="3" t="s">
        <v>91</v>
      </c>
      <c r="B10" s="9" t="n">
        <v>2</v>
      </c>
      <c r="C10" s="3" t="s">
        <v>82</v>
      </c>
      <c r="D10" s="5" t="s">
        <v>92</v>
      </c>
    </row>
    <row r="11" customFormat="false" ht="15" hidden="false" customHeight="true" outlineLevel="0" collapsed="false">
      <c r="A11" s="3" t="s">
        <v>93</v>
      </c>
      <c r="B11" s="9" t="n">
        <v>25</v>
      </c>
      <c r="C11" s="3" t="s">
        <v>82</v>
      </c>
      <c r="D11" s="5" t="s">
        <v>94</v>
      </c>
    </row>
    <row r="12" customFormat="false" ht="15" hidden="false" customHeight="true" outlineLevel="0" collapsed="false">
      <c r="A12" s="3" t="s">
        <v>95</v>
      </c>
      <c r="B12" s="9" t="n">
        <v>15</v>
      </c>
      <c r="C12" s="3" t="s">
        <v>82</v>
      </c>
      <c r="D12" s="5" t="s">
        <v>96</v>
      </c>
    </row>
    <row r="13" customFormat="false" ht="15" hidden="false" customHeight="true" outlineLevel="0" collapsed="false">
      <c r="A13" s="4" t="s">
        <v>97</v>
      </c>
      <c r="B13" s="4"/>
      <c r="C13" s="4"/>
      <c r="D13" s="4"/>
    </row>
    <row r="14" customFormat="false" ht="15" hidden="false" customHeight="true" outlineLevel="0" collapsed="false">
      <c r="A14" s="6" t="s">
        <v>77</v>
      </c>
      <c r="B14" s="6" t="s">
        <v>45</v>
      </c>
      <c r="C14" s="6" t="s">
        <v>46</v>
      </c>
      <c r="D14" s="6" t="s">
        <v>78</v>
      </c>
    </row>
    <row r="15" customFormat="false" ht="15" hidden="false" customHeight="true" outlineLevel="0" collapsed="false">
      <c r="A15" s="3" t="s">
        <v>98</v>
      </c>
      <c r="B15" s="9" t="n">
        <v>100</v>
      </c>
      <c r="C15" s="3" t="s">
        <v>82</v>
      </c>
      <c r="D15" s="5" t="s">
        <v>99</v>
      </c>
    </row>
    <row r="16" customFormat="false" ht="15" hidden="false" customHeight="true" outlineLevel="0" collapsed="false">
      <c r="A16" s="3" t="s">
        <v>100</v>
      </c>
      <c r="B16" s="9" t="n">
        <v>150</v>
      </c>
      <c r="C16" s="3" t="s">
        <v>82</v>
      </c>
      <c r="D16" s="5" t="s">
        <v>101</v>
      </c>
    </row>
    <row r="17" customFormat="false" ht="15" hidden="false" customHeight="true" outlineLevel="0" collapsed="false">
      <c r="A17" s="3" t="s">
        <v>102</v>
      </c>
      <c r="B17" s="9" t="n">
        <v>15</v>
      </c>
      <c r="C17" s="3" t="s">
        <v>82</v>
      </c>
      <c r="D17" s="5" t="s">
        <v>103</v>
      </c>
    </row>
    <row r="18" customFormat="false" ht="15" hidden="false" customHeight="true" outlineLevel="0" collapsed="false">
      <c r="A18" s="3" t="s">
        <v>104</v>
      </c>
      <c r="B18" s="9" t="n">
        <v>20</v>
      </c>
      <c r="C18" s="3" t="s">
        <v>82</v>
      </c>
      <c r="D18" s="5" t="s">
        <v>105</v>
      </c>
    </row>
    <row r="19" customFormat="false" ht="15" hidden="false" customHeight="true" outlineLevel="0" collapsed="false">
      <c r="A19" s="3" t="s">
        <v>106</v>
      </c>
      <c r="B19" s="9" t="n">
        <v>25</v>
      </c>
      <c r="C19" s="3" t="s">
        <v>82</v>
      </c>
      <c r="D19" s="5" t="s">
        <v>107</v>
      </c>
    </row>
    <row r="20" customFormat="false" ht="15" hidden="false" customHeight="true" outlineLevel="0" collapsed="false">
      <c r="A20" s="4" t="s">
        <v>108</v>
      </c>
      <c r="B20" s="4"/>
      <c r="C20" s="4"/>
      <c r="D20" s="4"/>
    </row>
    <row r="21" customFormat="false" ht="15" hidden="false" customHeight="true" outlineLevel="0" collapsed="false">
      <c r="A21" s="6" t="s">
        <v>77</v>
      </c>
      <c r="B21" s="6" t="s">
        <v>45</v>
      </c>
      <c r="C21" s="6" t="s">
        <v>46</v>
      </c>
      <c r="D21" s="6" t="s">
        <v>78</v>
      </c>
    </row>
    <row r="22" customFormat="false" ht="15" hidden="false" customHeight="true" outlineLevel="0" collapsed="false">
      <c r="A22" s="3" t="s">
        <v>109</v>
      </c>
      <c r="B22" s="9" t="n">
        <v>4</v>
      </c>
      <c r="C22" s="3" t="s">
        <v>84</v>
      </c>
      <c r="D22" s="5" t="s">
        <v>110</v>
      </c>
    </row>
    <row r="23" customFormat="false" ht="15" hidden="false" customHeight="true" outlineLevel="0" collapsed="false">
      <c r="A23" s="3" t="s">
        <v>111</v>
      </c>
      <c r="B23" s="9" t="n">
        <v>0</v>
      </c>
      <c r="C23" s="3" t="s">
        <v>84</v>
      </c>
      <c r="D23" s="5" t="s">
        <v>112</v>
      </c>
    </row>
    <row r="24" customFormat="false" ht="15" hidden="false" customHeight="true" outlineLevel="0" collapsed="false">
      <c r="A24" s="3" t="s">
        <v>113</v>
      </c>
      <c r="B24" s="9" t="n">
        <v>25</v>
      </c>
      <c r="C24" s="3" t="s">
        <v>82</v>
      </c>
      <c r="D24" s="5" t="s">
        <v>114</v>
      </c>
    </row>
    <row r="25" customFormat="false" ht="15" hidden="false" customHeight="true" outlineLevel="0" collapsed="false">
      <c r="A25" s="3" t="s">
        <v>115</v>
      </c>
      <c r="B25" s="9" t="n">
        <v>3</v>
      </c>
      <c r="C25" s="3" t="s">
        <v>82</v>
      </c>
      <c r="D25" s="5" t="s">
        <v>116</v>
      </c>
    </row>
    <row r="26" customFormat="false" ht="15" hidden="false" customHeight="true" outlineLevel="0" collapsed="false">
      <c r="A26" s="3" t="s">
        <v>117</v>
      </c>
      <c r="B26" s="9" t="n">
        <v>30</v>
      </c>
      <c r="C26" s="3" t="s">
        <v>82</v>
      </c>
      <c r="D26" s="5" t="s">
        <v>118</v>
      </c>
    </row>
    <row r="27" customFormat="false" ht="15" hidden="false" customHeight="true" outlineLevel="0" collapsed="false">
      <c r="A27" s="3" t="s">
        <v>119</v>
      </c>
      <c r="B27" s="9" t="n">
        <v>60</v>
      </c>
      <c r="C27" s="3" t="s">
        <v>82</v>
      </c>
      <c r="D27" s="5" t="s">
        <v>120</v>
      </c>
    </row>
    <row r="28" customFormat="false" ht="15" hidden="false" customHeight="true" outlineLevel="0" collapsed="false">
      <c r="A28" s="4" t="s">
        <v>121</v>
      </c>
      <c r="B28" s="4"/>
      <c r="C28" s="4"/>
      <c r="D28" s="4"/>
    </row>
    <row r="29" customFormat="false" ht="15" hidden="false" customHeight="true" outlineLevel="0" collapsed="false">
      <c r="A29" s="6" t="s">
        <v>77</v>
      </c>
      <c r="B29" s="6" t="s">
        <v>45</v>
      </c>
      <c r="C29" s="6" t="s">
        <v>46</v>
      </c>
      <c r="D29" s="6" t="s">
        <v>78</v>
      </c>
    </row>
    <row r="30" customFormat="false" ht="15" hidden="false" customHeight="true" outlineLevel="0" collapsed="false">
      <c r="A30" s="3" t="s">
        <v>122</v>
      </c>
      <c r="B30" s="9" t="n">
        <v>300</v>
      </c>
      <c r="C30" s="3" t="s">
        <v>82</v>
      </c>
      <c r="D30" s="5" t="s">
        <v>123</v>
      </c>
    </row>
    <row r="31" customFormat="false" ht="15" hidden="false" customHeight="true" outlineLevel="0" collapsed="false">
      <c r="A31" s="3" t="s">
        <v>124</v>
      </c>
      <c r="B31" s="9" t="n">
        <v>300</v>
      </c>
      <c r="C31" s="3" t="s">
        <v>82</v>
      </c>
      <c r="D31" s="5" t="s">
        <v>125</v>
      </c>
    </row>
    <row r="32" customFormat="false" ht="15" hidden="false" customHeight="true" outlineLevel="0" collapsed="false">
      <c r="A32" s="3" t="s">
        <v>126</v>
      </c>
      <c r="B32" s="9" t="n">
        <v>300</v>
      </c>
      <c r="C32" s="3" t="s">
        <v>82</v>
      </c>
      <c r="D32" s="5" t="s">
        <v>127</v>
      </c>
    </row>
    <row r="33" customFormat="false" ht="15" hidden="false" customHeight="true" outlineLevel="0" collapsed="false">
      <c r="A33" s="3" t="s">
        <v>128</v>
      </c>
      <c r="B33" s="9" t="n">
        <v>300</v>
      </c>
      <c r="C33" s="3" t="s">
        <v>82</v>
      </c>
      <c r="D33" s="5" t="s">
        <v>129</v>
      </c>
    </row>
    <row r="34" customFormat="false" ht="15" hidden="false" customHeight="true" outlineLevel="0" collapsed="false">
      <c r="A34" s="4" t="s">
        <v>130</v>
      </c>
      <c r="B34" s="4"/>
      <c r="C34" s="4"/>
      <c r="D34" s="4"/>
    </row>
    <row r="35" customFormat="false" ht="15" hidden="false" customHeight="true" outlineLevel="0" collapsed="false">
      <c r="A35" s="6" t="s">
        <v>77</v>
      </c>
      <c r="B35" s="6" t="s">
        <v>45</v>
      </c>
      <c r="C35" s="6" t="s">
        <v>46</v>
      </c>
      <c r="D35" s="6" t="s">
        <v>78</v>
      </c>
    </row>
    <row r="36" customFormat="false" ht="15" hidden="false" customHeight="true" outlineLevel="0" collapsed="false">
      <c r="A36" s="3" t="s">
        <v>131</v>
      </c>
      <c r="B36" s="10" t="n">
        <v>1</v>
      </c>
      <c r="C36" s="3" t="s">
        <v>82</v>
      </c>
      <c r="D36" s="5" t="s">
        <v>132</v>
      </c>
    </row>
    <row r="37" customFormat="false" ht="15" hidden="false" customHeight="true" outlineLevel="0" collapsed="false">
      <c r="A37" s="3" t="s">
        <v>133</v>
      </c>
      <c r="B37" s="9" t="n">
        <v>20</v>
      </c>
      <c r="C37" s="3" t="s">
        <v>82</v>
      </c>
      <c r="D37" s="5" t="s">
        <v>134</v>
      </c>
    </row>
    <row r="38" customFormat="false" ht="15" hidden="false" customHeight="true" outlineLevel="0" collapsed="false">
      <c r="A38" s="3" t="s">
        <v>135</v>
      </c>
      <c r="B38" s="11" t="n">
        <v>0.04</v>
      </c>
      <c r="C38" s="3" t="s">
        <v>136</v>
      </c>
      <c r="D38" s="5" t="s">
        <v>137</v>
      </c>
    </row>
    <row r="39" customFormat="false" ht="15" hidden="false" customHeight="true" outlineLevel="0" collapsed="false">
      <c r="A39" s="3" t="s">
        <v>138</v>
      </c>
      <c r="B39" s="10" t="n">
        <v>8</v>
      </c>
      <c r="C39" s="3" t="s">
        <v>139</v>
      </c>
      <c r="D39" s="5" t="s">
        <v>140</v>
      </c>
    </row>
    <row r="40" customFormat="false" ht="15" hidden="false" customHeight="true" outlineLevel="0" collapsed="false">
      <c r="A40" s="3" t="s">
        <v>141</v>
      </c>
      <c r="B40" s="10" t="n">
        <v>8</v>
      </c>
      <c r="C40" s="3" t="s">
        <v>139</v>
      </c>
      <c r="D40" s="5" t="s">
        <v>142</v>
      </c>
    </row>
    <row r="41" customFormat="false" ht="15" hidden="false" customHeight="true" outlineLevel="0" collapsed="false">
      <c r="A41" s="3" t="s">
        <v>143</v>
      </c>
      <c r="B41" s="12" t="n">
        <v>0.15</v>
      </c>
      <c r="C41" s="3" t="s">
        <v>89</v>
      </c>
      <c r="D41" s="5" t="s">
        <v>144</v>
      </c>
    </row>
    <row r="42" customFormat="false" ht="15" hidden="false" customHeight="true" outlineLevel="0" collapsed="false">
      <c r="A42" s="4" t="s">
        <v>145</v>
      </c>
      <c r="B42" s="4"/>
      <c r="C42" s="4"/>
      <c r="D42" s="4"/>
    </row>
    <row r="43" customFormat="false" ht="15" hidden="false" customHeight="true" outlineLevel="0" collapsed="false">
      <c r="A43" s="6" t="s">
        <v>77</v>
      </c>
      <c r="B43" s="6" t="s">
        <v>45</v>
      </c>
      <c r="C43" s="6" t="s">
        <v>46</v>
      </c>
      <c r="D43" s="6" t="s">
        <v>78</v>
      </c>
    </row>
    <row r="44" customFormat="false" ht="15" hidden="false" customHeight="true" outlineLevel="0" collapsed="false">
      <c r="A44" s="3" t="s">
        <v>146</v>
      </c>
      <c r="B44" s="9" t="n">
        <v>200</v>
      </c>
      <c r="C44" s="3" t="s">
        <v>147</v>
      </c>
      <c r="D44" s="5" t="s">
        <v>148</v>
      </c>
    </row>
    <row r="45" customFormat="false" ht="15" hidden="false" customHeight="true" outlineLevel="0" collapsed="false">
      <c r="A45" s="3" t="s">
        <v>149</v>
      </c>
      <c r="B45" s="9" t="n">
        <v>16</v>
      </c>
      <c r="C45" s="3" t="s">
        <v>150</v>
      </c>
      <c r="D45" s="5" t="s">
        <v>151</v>
      </c>
    </row>
    <row r="46" customFormat="false" ht="15" hidden="false" customHeight="true" outlineLevel="0" collapsed="false">
      <c r="A46" s="3" t="s">
        <v>152</v>
      </c>
      <c r="B46" s="13" t="n">
        <v>1.8</v>
      </c>
      <c r="C46" s="3" t="s">
        <v>153</v>
      </c>
      <c r="D46" s="5" t="s">
        <v>154</v>
      </c>
    </row>
    <row r="47" customFormat="false" ht="15" hidden="false" customHeight="true" outlineLevel="0" collapsed="false">
      <c r="A47" s="3" t="s">
        <v>155</v>
      </c>
      <c r="B47" s="10" t="n">
        <v>14</v>
      </c>
      <c r="C47" s="3" t="s">
        <v>156</v>
      </c>
      <c r="D47" s="5" t="s">
        <v>157</v>
      </c>
    </row>
    <row r="48" customFormat="false" ht="15" hidden="false" customHeight="true" outlineLevel="0" collapsed="false">
      <c r="A48" s="4" t="s">
        <v>158</v>
      </c>
      <c r="B48" s="4"/>
      <c r="C48" s="4"/>
      <c r="D48" s="4"/>
    </row>
    <row r="49" customFormat="false" ht="15" hidden="false" customHeight="true" outlineLevel="0" collapsed="false">
      <c r="A49" s="6" t="s">
        <v>77</v>
      </c>
      <c r="B49" s="6" t="s">
        <v>45</v>
      </c>
      <c r="C49" s="6" t="s">
        <v>46</v>
      </c>
      <c r="D49" s="6" t="s">
        <v>78</v>
      </c>
    </row>
    <row r="50" customFormat="false" ht="15" hidden="false" customHeight="true" outlineLevel="0" collapsed="false">
      <c r="A50" s="3" t="s">
        <v>159</v>
      </c>
      <c r="B50" s="10" t="n">
        <v>20</v>
      </c>
      <c r="C50" s="3" t="s">
        <v>160</v>
      </c>
      <c r="D50" s="5" t="s">
        <v>161</v>
      </c>
    </row>
    <row r="51" customFormat="false" ht="15" hidden="false" customHeight="true" outlineLevel="0" collapsed="false">
      <c r="A51" s="3" t="s">
        <v>162</v>
      </c>
      <c r="B51" s="10" t="n">
        <v>22</v>
      </c>
      <c r="C51" s="3" t="s">
        <v>160</v>
      </c>
      <c r="D51" s="5" t="s">
        <v>163</v>
      </c>
    </row>
    <row r="52" customFormat="false" ht="15" hidden="false" customHeight="true" outlineLevel="0" collapsed="false">
      <c r="A52" s="3" t="s">
        <v>164</v>
      </c>
      <c r="B52" s="13" t="n">
        <v>0.95</v>
      </c>
      <c r="C52" s="3" t="s">
        <v>89</v>
      </c>
      <c r="D52" s="5" t="s">
        <v>165</v>
      </c>
    </row>
    <row r="53" customFormat="false" ht="15" hidden="false" customHeight="true" outlineLevel="0" collapsed="false">
      <c r="A53" s="3" t="s">
        <v>166</v>
      </c>
      <c r="B53" s="10" t="n">
        <v>1.5</v>
      </c>
      <c r="C53" s="3" t="s">
        <v>167</v>
      </c>
      <c r="D53" s="5" t="s">
        <v>168</v>
      </c>
    </row>
    <row r="54" customFormat="false" ht="15" hidden="false" customHeight="true" outlineLevel="0" collapsed="false">
      <c r="A54" s="3" t="s">
        <v>169</v>
      </c>
      <c r="B54" s="10" t="n">
        <v>15</v>
      </c>
      <c r="C54" s="3" t="s">
        <v>167</v>
      </c>
      <c r="D54" s="5" t="s">
        <v>170</v>
      </c>
    </row>
    <row r="55" customFormat="false" ht="15" hidden="false" customHeight="true" outlineLevel="0" collapsed="false">
      <c r="A55" s="4" t="s">
        <v>171</v>
      </c>
      <c r="B55" s="4"/>
      <c r="C55" s="4"/>
      <c r="D55" s="4"/>
    </row>
    <row r="56" customFormat="false" ht="15" hidden="false" customHeight="true" outlineLevel="0" collapsed="false">
      <c r="A56" s="6" t="s">
        <v>77</v>
      </c>
      <c r="B56" s="6" t="s">
        <v>45</v>
      </c>
      <c r="C56" s="6" t="s">
        <v>46</v>
      </c>
      <c r="D56" s="6" t="s">
        <v>78</v>
      </c>
    </row>
    <row r="57" customFormat="false" ht="15" hidden="false" customHeight="true" outlineLevel="0" collapsed="false">
      <c r="A57" s="3" t="s">
        <v>172</v>
      </c>
      <c r="B57" s="13" t="n">
        <v>1</v>
      </c>
      <c r="C57" s="3" t="s">
        <v>173</v>
      </c>
      <c r="D57" s="5" t="s">
        <v>174</v>
      </c>
    </row>
    <row r="58" customFormat="false" ht="15" hidden="false" customHeight="true" outlineLevel="0" collapsed="false">
      <c r="A58" s="3" t="s">
        <v>175</v>
      </c>
      <c r="B58" s="9" t="n">
        <v>4</v>
      </c>
      <c r="C58" s="3" t="s">
        <v>176</v>
      </c>
      <c r="D58" s="5" t="s">
        <v>177</v>
      </c>
    </row>
    <row r="59" customFormat="false" ht="15" hidden="false" customHeight="true" outlineLevel="0" collapsed="false">
      <c r="A59" s="3" t="s">
        <v>178</v>
      </c>
      <c r="B59" s="10" t="n">
        <v>20</v>
      </c>
      <c r="C59" s="3" t="s">
        <v>179</v>
      </c>
      <c r="D59" s="5" t="s">
        <v>180</v>
      </c>
    </row>
    <row r="60" customFormat="false" ht="15" hidden="false" customHeight="true" outlineLevel="0" collapsed="false">
      <c r="A60" s="3" t="s">
        <v>181</v>
      </c>
      <c r="B60" s="9" t="n">
        <v>7</v>
      </c>
      <c r="C60" s="3" t="s">
        <v>182</v>
      </c>
      <c r="D60" s="5" t="s">
        <v>183</v>
      </c>
    </row>
    <row r="61" customFormat="false" ht="15" hidden="false" customHeight="true" outlineLevel="0" collapsed="false">
      <c r="A61" s="4" t="s">
        <v>184</v>
      </c>
      <c r="B61" s="4"/>
      <c r="C61" s="4"/>
      <c r="D61" s="4"/>
    </row>
    <row r="62" customFormat="false" ht="15" hidden="false" customHeight="true" outlineLevel="0" collapsed="false">
      <c r="A62" s="6" t="s">
        <v>77</v>
      </c>
      <c r="B62" s="6" t="s">
        <v>45</v>
      </c>
      <c r="C62" s="6" t="s">
        <v>46</v>
      </c>
      <c r="D62" s="6" t="s">
        <v>78</v>
      </c>
    </row>
    <row r="63" customFormat="false" ht="15" hidden="false" customHeight="true" outlineLevel="0" collapsed="false">
      <c r="A63" s="3" t="s">
        <v>185</v>
      </c>
      <c r="B63" s="9" t="n">
        <v>24</v>
      </c>
      <c r="C63" s="3" t="s">
        <v>186</v>
      </c>
      <c r="D63" s="5" t="s">
        <v>187</v>
      </c>
    </row>
    <row r="64" customFormat="false" ht="15" hidden="false" customHeight="true" outlineLevel="0" collapsed="false">
      <c r="A64" s="3" t="s">
        <v>188</v>
      </c>
      <c r="B64" s="9" t="n">
        <v>5</v>
      </c>
      <c r="C64" s="3" t="s">
        <v>186</v>
      </c>
      <c r="D64" s="5" t="s">
        <v>189</v>
      </c>
    </row>
    <row r="65" customFormat="false" ht="15" hidden="false" customHeight="true" outlineLevel="0" collapsed="false">
      <c r="A65" s="3" t="s">
        <v>190</v>
      </c>
      <c r="B65" s="10" t="n">
        <v>1</v>
      </c>
      <c r="C65" s="3" t="s">
        <v>167</v>
      </c>
      <c r="D65" s="5" t="s">
        <v>191</v>
      </c>
    </row>
    <row r="66" customFormat="false" ht="15" hidden="false" customHeight="true" outlineLevel="0" collapsed="false">
      <c r="A66" s="3" t="s">
        <v>192</v>
      </c>
      <c r="B66" s="10" t="n">
        <v>0.2</v>
      </c>
      <c r="C66" s="3" t="s">
        <v>167</v>
      </c>
      <c r="D66" s="5" t="s">
        <v>193</v>
      </c>
    </row>
    <row r="67" customFormat="false" ht="15" hidden="false" customHeight="true" outlineLevel="0" collapsed="false">
      <c r="A67" s="3" t="s">
        <v>194</v>
      </c>
      <c r="B67" s="10" t="n">
        <v>4</v>
      </c>
      <c r="C67" s="3" t="s">
        <v>167</v>
      </c>
      <c r="D67" s="5" t="s">
        <v>195</v>
      </c>
    </row>
    <row r="68" customFormat="false" ht="15" hidden="false" customHeight="true" outlineLevel="0" collapsed="false">
      <c r="A68" s="3" t="s">
        <v>196</v>
      </c>
      <c r="B68" s="10" t="n">
        <v>8</v>
      </c>
      <c r="C68" s="3" t="s">
        <v>167</v>
      </c>
      <c r="D68" s="5" t="s">
        <v>197</v>
      </c>
    </row>
    <row r="69" customFormat="false" ht="15" hidden="false" customHeight="true" outlineLevel="0" collapsed="false">
      <c r="A69" s="3" t="s">
        <v>198</v>
      </c>
      <c r="B69" s="12" t="n">
        <v>0.3</v>
      </c>
      <c r="C69" s="3" t="s">
        <v>89</v>
      </c>
      <c r="D69" s="5" t="s">
        <v>199</v>
      </c>
    </row>
    <row r="70" customFormat="false" ht="15" hidden="false" customHeight="true" outlineLevel="0" collapsed="false">
      <c r="A70" s="4" t="s">
        <v>200</v>
      </c>
      <c r="B70" s="4"/>
      <c r="C70" s="4"/>
      <c r="D70" s="4"/>
    </row>
    <row r="71" customFormat="false" ht="15" hidden="false" customHeight="true" outlineLevel="0" collapsed="false">
      <c r="A71" s="6" t="s">
        <v>77</v>
      </c>
      <c r="B71" s="6" t="s">
        <v>45</v>
      </c>
      <c r="C71" s="6" t="s">
        <v>46</v>
      </c>
      <c r="D71" s="6" t="s">
        <v>78</v>
      </c>
    </row>
    <row r="72" customFormat="false" ht="15" hidden="false" customHeight="true" outlineLevel="0" collapsed="false">
      <c r="A72" s="3" t="s">
        <v>201</v>
      </c>
      <c r="B72" s="11" t="n">
        <v>0.22</v>
      </c>
      <c r="C72" s="3" t="s">
        <v>202</v>
      </c>
      <c r="D72" s="5" t="s">
        <v>203</v>
      </c>
    </row>
    <row r="73" customFormat="false" ht="15" hidden="false" customHeight="true" outlineLevel="0" collapsed="false">
      <c r="A73" s="3" t="s">
        <v>204</v>
      </c>
      <c r="B73" s="14" t="n">
        <v>0.0155</v>
      </c>
      <c r="C73" s="3" t="s">
        <v>202</v>
      </c>
      <c r="D73" s="5" t="s">
        <v>205</v>
      </c>
    </row>
    <row r="74" customFormat="false" ht="15" hidden="false" customHeight="true" outlineLevel="0" collapsed="false">
      <c r="A74" s="3" t="s">
        <v>206</v>
      </c>
      <c r="B74" s="9" t="n">
        <v>15</v>
      </c>
      <c r="C74" s="3" t="s">
        <v>182</v>
      </c>
      <c r="D74" s="5" t="s">
        <v>207</v>
      </c>
    </row>
    <row r="75" customFormat="false" ht="15" hidden="false" customHeight="true" outlineLevel="0" collapsed="false">
      <c r="A75" s="3" t="s">
        <v>208</v>
      </c>
      <c r="B75" s="9" t="n">
        <v>2</v>
      </c>
      <c r="C75" s="3" t="s">
        <v>182</v>
      </c>
      <c r="D75" s="5" t="s">
        <v>209</v>
      </c>
    </row>
    <row r="76" customFormat="false" ht="15" hidden="false" customHeight="true" outlineLevel="0" collapsed="false">
      <c r="A76" s="4" t="s">
        <v>210</v>
      </c>
      <c r="B76" s="4"/>
      <c r="C76" s="4"/>
      <c r="D76" s="4"/>
    </row>
    <row r="77" customFormat="false" ht="15" hidden="false" customHeight="true" outlineLevel="0" collapsed="false">
      <c r="A77" s="6" t="s">
        <v>77</v>
      </c>
      <c r="B77" s="6" t="s">
        <v>45</v>
      </c>
      <c r="C77" s="6" t="s">
        <v>46</v>
      </c>
      <c r="D77" s="6" t="s">
        <v>78</v>
      </c>
    </row>
    <row r="78" customFormat="false" ht="15" hidden="false" customHeight="true" outlineLevel="0" collapsed="false">
      <c r="A78" s="3" t="s">
        <v>211</v>
      </c>
      <c r="B78" s="13" t="n">
        <v>90</v>
      </c>
      <c r="C78" s="3" t="s">
        <v>212</v>
      </c>
      <c r="D78" s="5" t="s">
        <v>213</v>
      </c>
    </row>
    <row r="79" customFormat="false" ht="15" hidden="false" customHeight="true" outlineLevel="0" collapsed="false">
      <c r="A79" s="3" t="s">
        <v>214</v>
      </c>
      <c r="B79" s="13" t="n">
        <v>8</v>
      </c>
      <c r="C79" s="3" t="s">
        <v>215</v>
      </c>
      <c r="D79" s="5" t="s">
        <v>216</v>
      </c>
    </row>
    <row r="80" customFormat="false" ht="15" hidden="false" customHeight="true" outlineLevel="0" collapsed="false">
      <c r="A80" s="3" t="s">
        <v>217</v>
      </c>
      <c r="B80" s="13" t="n">
        <v>120</v>
      </c>
      <c r="C80" s="3" t="s">
        <v>218</v>
      </c>
      <c r="D80" s="5" t="s">
        <v>219</v>
      </c>
    </row>
    <row r="81" customFormat="false" ht="15" hidden="false" customHeight="true" outlineLevel="0" collapsed="false">
      <c r="A81" s="3" t="s">
        <v>220</v>
      </c>
      <c r="B81" s="13" t="n">
        <v>9</v>
      </c>
      <c r="C81" s="3" t="s">
        <v>221</v>
      </c>
      <c r="D81" s="5" t="s">
        <v>222</v>
      </c>
    </row>
    <row r="82" customFormat="false" ht="15" hidden="false" customHeight="true" outlineLevel="0" collapsed="false">
      <c r="A82" s="3" t="s">
        <v>223</v>
      </c>
      <c r="B82" s="13" t="n">
        <v>25</v>
      </c>
      <c r="C82" s="3" t="s">
        <v>215</v>
      </c>
      <c r="D82" s="5" t="s">
        <v>224</v>
      </c>
    </row>
    <row r="83" customFormat="false" ht="15" hidden="false" customHeight="true" outlineLevel="0" collapsed="false">
      <c r="A83" s="3" t="s">
        <v>225</v>
      </c>
      <c r="B83" s="13" t="n">
        <v>28</v>
      </c>
      <c r="C83" s="3" t="s">
        <v>221</v>
      </c>
      <c r="D83" s="5" t="s">
        <v>226</v>
      </c>
    </row>
    <row r="84" customFormat="false" ht="15" hidden="false" customHeight="true" outlineLevel="0" collapsed="false">
      <c r="A84" s="3" t="s">
        <v>227</v>
      </c>
      <c r="B84" s="13" t="n">
        <v>60</v>
      </c>
      <c r="C84" s="3" t="s">
        <v>221</v>
      </c>
      <c r="D84" s="5" t="s">
        <v>228</v>
      </c>
    </row>
    <row r="85" customFormat="false" ht="15" hidden="false" customHeight="true" outlineLevel="0" collapsed="false">
      <c r="A85" s="3" t="s">
        <v>229</v>
      </c>
      <c r="B85" s="13" t="n">
        <v>0.6</v>
      </c>
      <c r="C85" s="3" t="s">
        <v>230</v>
      </c>
      <c r="D85" s="5" t="s">
        <v>231</v>
      </c>
    </row>
    <row r="86" customFormat="false" ht="15" hidden="false" customHeight="true" outlineLevel="0" collapsed="false">
      <c r="A86" s="3" t="s">
        <v>232</v>
      </c>
      <c r="B86" s="13" t="n">
        <v>60</v>
      </c>
      <c r="C86" s="3" t="s">
        <v>233</v>
      </c>
      <c r="D86" s="5" t="s">
        <v>234</v>
      </c>
    </row>
    <row r="88" customFormat="false" ht="15" hidden="false" customHeight="true" outlineLevel="0" collapsed="false">
      <c r="A88" s="4" t="s">
        <v>235</v>
      </c>
    </row>
    <row r="89" customFormat="false" ht="15" hidden="false" customHeight="true" outlineLevel="0" collapsed="false">
      <c r="A89" s="6" t="s">
        <v>77</v>
      </c>
      <c r="B89" s="6" t="s">
        <v>45</v>
      </c>
      <c r="C89" s="6" t="s">
        <v>46</v>
      </c>
      <c r="D89" s="6" t="s">
        <v>78</v>
      </c>
    </row>
    <row r="90" customFormat="false" ht="15" hidden="false" customHeight="true" outlineLevel="0" collapsed="false">
      <c r="A90" s="3" t="s">
        <v>236</v>
      </c>
      <c r="B90" s="9" t="n">
        <v>150</v>
      </c>
      <c r="C90" s="3" t="s">
        <v>82</v>
      </c>
      <c r="D90" s="5" t="s">
        <v>237</v>
      </c>
    </row>
    <row r="91" customFormat="false" ht="15" hidden="false" customHeight="true" outlineLevel="0" collapsed="false">
      <c r="A91" s="3" t="s">
        <v>238</v>
      </c>
      <c r="B91" s="9" t="n">
        <v>200</v>
      </c>
      <c r="C91" s="3" t="s">
        <v>82</v>
      </c>
      <c r="D91" s="5" t="s">
        <v>239</v>
      </c>
    </row>
    <row r="92" customFormat="false" ht="15" hidden="false" customHeight="true" outlineLevel="0" collapsed="false">
      <c r="A92" s="3" t="s">
        <v>240</v>
      </c>
      <c r="B92" s="9" t="n">
        <v>35</v>
      </c>
      <c r="C92" s="3" t="s">
        <v>82</v>
      </c>
      <c r="D92" s="5" t="s">
        <v>241</v>
      </c>
    </row>
    <row r="93" customFormat="false" ht="15" hidden="false" customHeight="true" outlineLevel="0" collapsed="false">
      <c r="A93" s="3" t="s">
        <v>242</v>
      </c>
      <c r="B93" s="9" t="n">
        <v>30</v>
      </c>
      <c r="C93" s="3" t="s">
        <v>82</v>
      </c>
      <c r="D93" s="5" t="s">
        <v>243</v>
      </c>
    </row>
    <row r="94" customFormat="false" ht="15" hidden="false" customHeight="true" outlineLevel="0" collapsed="false">
      <c r="A94" s="3" t="s">
        <v>244</v>
      </c>
      <c r="B94" s="9" t="n">
        <v>0</v>
      </c>
      <c r="C94" s="3" t="s">
        <v>82</v>
      </c>
      <c r="D94" s="5" t="s">
        <v>245</v>
      </c>
    </row>
    <row r="95" customFormat="false" ht="15" hidden="false" customHeight="true" outlineLevel="0" collapsed="false">
      <c r="A95" s="3" t="s">
        <v>246</v>
      </c>
      <c r="B95" s="9" t="n">
        <v>1</v>
      </c>
      <c r="C95" s="3" t="s">
        <v>84</v>
      </c>
      <c r="D95" s="5" t="s">
        <v>247</v>
      </c>
    </row>
    <row r="96" customFormat="false" ht="15" hidden="false" customHeight="true" outlineLevel="0" collapsed="false">
      <c r="A96" s="3" t="s">
        <v>248</v>
      </c>
      <c r="B96" s="9" t="n">
        <v>1</v>
      </c>
      <c r="C96" s="3" t="s">
        <v>84</v>
      </c>
      <c r="D96" s="5" t="s">
        <v>249</v>
      </c>
    </row>
    <row r="97" customFormat="false" ht="15" hidden="false" customHeight="true" outlineLevel="0" collapsed="false">
      <c r="A97" s="4" t="s">
        <v>250</v>
      </c>
    </row>
    <row r="98" customFormat="false" ht="15" hidden="false" customHeight="true" outlineLevel="0" collapsed="false">
      <c r="A98" s="6" t="s">
        <v>77</v>
      </c>
      <c r="B98" s="6" t="s">
        <v>45</v>
      </c>
      <c r="C98" s="6" t="s">
        <v>46</v>
      </c>
      <c r="D98" s="6" t="s">
        <v>78</v>
      </c>
    </row>
    <row r="99" customFormat="false" ht="15" hidden="false" customHeight="true" outlineLevel="0" collapsed="false">
      <c r="A99" s="3" t="s">
        <v>251</v>
      </c>
      <c r="B99" s="9" t="n">
        <v>7900</v>
      </c>
      <c r="C99" s="3" t="s">
        <v>252</v>
      </c>
      <c r="D99" s="5" t="s">
        <v>253</v>
      </c>
    </row>
    <row r="100" customFormat="false" ht="15" hidden="false" customHeight="true" outlineLevel="0" collapsed="false">
      <c r="A100" s="3" t="s">
        <v>254</v>
      </c>
      <c r="B100" s="9" t="n">
        <v>2</v>
      </c>
      <c r="C100" s="3" t="s">
        <v>82</v>
      </c>
      <c r="D100" s="5" t="s">
        <v>255</v>
      </c>
    </row>
    <row r="101" customFormat="false" ht="15" hidden="false" customHeight="true" outlineLevel="0" collapsed="false">
      <c r="A101" s="3" t="s">
        <v>256</v>
      </c>
      <c r="B101" s="9" t="n">
        <v>0.3</v>
      </c>
      <c r="C101" s="3" t="s">
        <v>257</v>
      </c>
      <c r="D101" s="5" t="s">
        <v>258</v>
      </c>
    </row>
    <row r="102" customFormat="false" ht="15" hidden="false" customHeight="true" outlineLevel="0" collapsed="false">
      <c r="A102" s="3" t="s">
        <v>259</v>
      </c>
      <c r="B102" s="9" t="n">
        <v>1</v>
      </c>
      <c r="C102" s="3" t="s">
        <v>260</v>
      </c>
      <c r="D102" s="5" t="s">
        <v>261</v>
      </c>
    </row>
    <row r="103" customFormat="false" ht="15" hidden="false" customHeight="true" outlineLevel="0" collapsed="false">
      <c r="A103" s="3" t="s">
        <v>262</v>
      </c>
      <c r="B103" s="9" t="n">
        <v>1.5</v>
      </c>
      <c r="C103" s="3" t="s">
        <v>257</v>
      </c>
      <c r="D103" s="5" t="s">
        <v>263</v>
      </c>
    </row>
    <row r="104" customFormat="false" ht="15" hidden="false" customHeight="true" outlineLevel="0" collapsed="false">
      <c r="A104" s="4" t="s">
        <v>264</v>
      </c>
    </row>
    <row r="105" customFormat="false" ht="15" hidden="false" customHeight="true" outlineLevel="0" collapsed="false">
      <c r="A105" s="15" t="s">
        <v>77</v>
      </c>
      <c r="B105" s="15" t="s">
        <v>45</v>
      </c>
      <c r="C105" s="15" t="s">
        <v>46</v>
      </c>
      <c r="D105" s="15" t="s">
        <v>78</v>
      </c>
    </row>
    <row r="106" customFormat="false" ht="15" hidden="false" customHeight="true" outlineLevel="0" collapsed="false">
      <c r="A106" s="3" t="s">
        <v>265</v>
      </c>
      <c r="B106" s="9" t="n">
        <v>1.5</v>
      </c>
      <c r="C106" s="3" t="s">
        <v>266</v>
      </c>
      <c r="D106" s="5" t="s">
        <v>267</v>
      </c>
    </row>
    <row r="107" customFormat="false" ht="15" hidden="false" customHeight="true" outlineLevel="0" collapsed="false">
      <c r="A107" s="3" t="s">
        <v>268</v>
      </c>
      <c r="B107" s="9" t="n">
        <v>0.03</v>
      </c>
      <c r="C107" s="3" t="s">
        <v>89</v>
      </c>
      <c r="D107" s="5" t="s">
        <v>269</v>
      </c>
    </row>
    <row r="108" customFormat="false" ht="15" hidden="false" customHeight="true" outlineLevel="0" collapsed="false">
      <c r="A108" s="3" t="s">
        <v>270</v>
      </c>
      <c r="B108" s="9" t="n">
        <v>0.0175</v>
      </c>
      <c r="C108" s="3" t="s">
        <v>271</v>
      </c>
      <c r="D108" s="5" t="s">
        <v>272</v>
      </c>
    </row>
    <row r="109" customFormat="false" ht="15" hidden="false" customHeight="true" outlineLevel="0" collapsed="false">
      <c r="A109" s="3" t="s">
        <v>273</v>
      </c>
      <c r="B109" s="9" t="n">
        <v>6</v>
      </c>
      <c r="C109" s="3" t="s">
        <v>82</v>
      </c>
      <c r="D109" s="5" t="s">
        <v>274</v>
      </c>
    </row>
    <row r="110" customFormat="false" ht="15" hidden="false" customHeight="true" outlineLevel="0" collapsed="false">
      <c r="A110" s="3" t="s">
        <v>275</v>
      </c>
      <c r="B110" s="9" t="n">
        <v>3</v>
      </c>
      <c r="C110" s="3" t="s">
        <v>276</v>
      </c>
      <c r="D110" s="5" t="s">
        <v>277</v>
      </c>
    </row>
    <row r="111" customFormat="false" ht="15" hidden="false" customHeight="true" outlineLevel="0" collapsed="false">
      <c r="A111" s="3" t="s">
        <v>278</v>
      </c>
      <c r="B111" s="9" t="n">
        <v>0.001</v>
      </c>
      <c r="C111" s="3" t="s">
        <v>279</v>
      </c>
      <c r="D111" s="5" t="s">
        <v>280</v>
      </c>
    </row>
    <row r="112" customFormat="false" ht="15" hidden="false" customHeight="true" outlineLevel="0" collapsed="false">
      <c r="A112" s="4" t="s">
        <v>281</v>
      </c>
    </row>
    <row r="113" customFormat="false" ht="15" hidden="false" customHeight="true" outlineLevel="0" collapsed="false">
      <c r="A113" s="15" t="s">
        <v>77</v>
      </c>
      <c r="B113" s="15" t="s">
        <v>45</v>
      </c>
      <c r="C113" s="15" t="s">
        <v>46</v>
      </c>
      <c r="D113" s="15" t="s">
        <v>78</v>
      </c>
    </row>
    <row r="114" customFormat="false" ht="15" hidden="false" customHeight="true" outlineLevel="0" collapsed="false">
      <c r="A114" s="3" t="s">
        <v>282</v>
      </c>
      <c r="B114" s="9" t="n">
        <v>8</v>
      </c>
      <c r="C114" s="3" t="s">
        <v>82</v>
      </c>
      <c r="D114" s="5" t="s">
        <v>283</v>
      </c>
    </row>
    <row r="115" customFormat="false" ht="15" hidden="false" customHeight="true" outlineLevel="0" collapsed="false">
      <c r="A115" s="3" t="s">
        <v>284</v>
      </c>
      <c r="B115" s="9" t="n">
        <v>8</v>
      </c>
      <c r="C115" s="3" t="s">
        <v>82</v>
      </c>
      <c r="D115" s="5" t="s">
        <v>285</v>
      </c>
    </row>
    <row r="116" customFormat="false" ht="15" hidden="false" customHeight="true" outlineLevel="0" collapsed="false">
      <c r="A116" s="3" t="s">
        <v>286</v>
      </c>
      <c r="B116" s="9" t="n">
        <v>20</v>
      </c>
      <c r="C116" s="3" t="s">
        <v>82</v>
      </c>
      <c r="D116" s="5" t="s">
        <v>287</v>
      </c>
    </row>
    <row r="117" customFormat="false" ht="15" hidden="false" customHeight="true" outlineLevel="0" collapsed="false">
      <c r="A117" s="3" t="s">
        <v>288</v>
      </c>
      <c r="B117" s="9" t="n">
        <v>12</v>
      </c>
      <c r="C117" s="3" t="s">
        <v>82</v>
      </c>
      <c r="D117" s="5" t="s">
        <v>289</v>
      </c>
    </row>
    <row r="118" customFormat="false" ht="15" hidden="false" customHeight="true" outlineLevel="0" collapsed="false">
      <c r="A118" s="3" t="s">
        <v>290</v>
      </c>
      <c r="B118" s="9" t="n">
        <v>1000</v>
      </c>
      <c r="C118" s="3" t="s">
        <v>82</v>
      </c>
      <c r="D118" s="5" t="s">
        <v>291</v>
      </c>
    </row>
    <row r="119" customFormat="false" ht="15" hidden="false" customHeight="true" outlineLevel="0" collapsed="false">
      <c r="A119" s="3" t="s">
        <v>292</v>
      </c>
      <c r="B119" s="9" t="n">
        <v>2000</v>
      </c>
      <c r="C119" s="3" t="s">
        <v>82</v>
      </c>
      <c r="D119" s="5" t="s">
        <v>291</v>
      </c>
    </row>
    <row r="120" customFormat="false" ht="15" hidden="false" customHeight="true" outlineLevel="0" collapsed="false">
      <c r="A120" s="3" t="s">
        <v>293</v>
      </c>
      <c r="B120" s="9" t="n">
        <v>8</v>
      </c>
      <c r="C120" s="3" t="s">
        <v>82</v>
      </c>
      <c r="D120" s="5" t="s">
        <v>294</v>
      </c>
    </row>
    <row r="121" customFormat="false" ht="15" hidden="false" customHeight="true" outlineLevel="0" collapsed="false">
      <c r="A121" s="3" t="s">
        <v>295</v>
      </c>
      <c r="B121" s="9" t="n">
        <v>10</v>
      </c>
      <c r="C121" s="3" t="s">
        <v>82</v>
      </c>
      <c r="D121" s="5" t="s">
        <v>296</v>
      </c>
    </row>
    <row r="122" customFormat="false" ht="15" hidden="false" customHeight="true" outlineLevel="0" collapsed="false">
      <c r="A122" s="3" t="s">
        <v>297</v>
      </c>
      <c r="B122" s="9" t="n">
        <v>400</v>
      </c>
      <c r="C122" s="3" t="s">
        <v>298</v>
      </c>
      <c r="D122" s="5" t="s">
        <v>299</v>
      </c>
    </row>
    <row r="123" customFormat="false" ht="15" hidden="false" customHeight="true" outlineLevel="0" collapsed="false">
      <c r="A123" s="3" t="s">
        <v>300</v>
      </c>
      <c r="B123" s="9" t="n">
        <v>100</v>
      </c>
      <c r="C123" s="3" t="s">
        <v>301</v>
      </c>
      <c r="D123" s="5" t="s">
        <v>302</v>
      </c>
    </row>
    <row r="124" customFormat="false" ht="15" hidden="false" customHeight="true" outlineLevel="0" collapsed="false">
      <c r="A124" s="3" t="s">
        <v>303</v>
      </c>
      <c r="B124" s="9" t="n">
        <v>3</v>
      </c>
      <c r="C124" s="3" t="s">
        <v>84</v>
      </c>
      <c r="D124" s="5" t="s">
        <v>304</v>
      </c>
    </row>
    <row r="126" customFormat="false" ht="15" hidden="false" customHeight="true" outlineLevel="0" collapsed="false">
      <c r="A126" s="4" t="s">
        <v>305</v>
      </c>
    </row>
    <row r="127" customFormat="false" ht="15" hidden="false" customHeight="true" outlineLevel="0" collapsed="false">
      <c r="A127" s="15" t="s">
        <v>77</v>
      </c>
      <c r="B127" s="15" t="s">
        <v>45</v>
      </c>
      <c r="C127" s="15" t="s">
        <v>46</v>
      </c>
      <c r="D127" s="15" t="s">
        <v>78</v>
      </c>
    </row>
    <row r="128" customFormat="false" ht="15" hidden="false" customHeight="true" outlineLevel="0" collapsed="false">
      <c r="A128" s="3" t="s">
        <v>306</v>
      </c>
      <c r="B128" s="9" t="n">
        <v>1</v>
      </c>
      <c r="C128" s="3" t="s">
        <v>89</v>
      </c>
      <c r="D128" s="5" t="s">
        <v>307</v>
      </c>
    </row>
    <row r="129" customFormat="false" ht="15" hidden="false" customHeight="true" outlineLevel="0" collapsed="false">
      <c r="A129" s="3" t="s">
        <v>308</v>
      </c>
      <c r="B129" s="13" t="n">
        <v>0.25</v>
      </c>
      <c r="C129" s="3" t="s">
        <v>89</v>
      </c>
      <c r="D129" s="5" t="s">
        <v>309</v>
      </c>
    </row>
    <row r="131" customFormat="false" ht="15" hidden="false" customHeight="true" outlineLevel="0" collapsed="false">
      <c r="A131" s="4" t="s">
        <v>310</v>
      </c>
    </row>
    <row r="132" customFormat="false" ht="15" hidden="false" customHeight="true" outlineLevel="0" collapsed="false">
      <c r="A132" s="15" t="s">
        <v>77</v>
      </c>
      <c r="B132" s="15" t="s">
        <v>45</v>
      </c>
      <c r="C132" s="15" t="s">
        <v>46</v>
      </c>
      <c r="D132" s="15" t="s">
        <v>78</v>
      </c>
    </row>
    <row r="133" customFormat="false" ht="15" hidden="false" customHeight="true" outlineLevel="0" collapsed="false">
      <c r="A133" s="3" t="s">
        <v>311</v>
      </c>
      <c r="B133" s="9" t="n">
        <v>1</v>
      </c>
      <c r="C133" s="3" t="s">
        <v>84</v>
      </c>
      <c r="D133" s="5" t="s">
        <v>312</v>
      </c>
    </row>
    <row r="134" customFormat="false" ht="15" hidden="false" customHeight="true" outlineLevel="0" collapsed="false">
      <c r="A134" s="3" t="s">
        <v>313</v>
      </c>
      <c r="B134" s="9" t="n">
        <v>1</v>
      </c>
      <c r="C134" s="3" t="s">
        <v>84</v>
      </c>
      <c r="D134" s="5" t="s">
        <v>314</v>
      </c>
    </row>
    <row r="136" customFormat="false" ht="15" hidden="false" customHeight="true" outlineLevel="0" collapsed="false">
      <c r="A136" s="4" t="s">
        <v>315</v>
      </c>
    </row>
    <row r="137" customFormat="false" ht="15" hidden="false" customHeight="true" outlineLevel="0" collapsed="false">
      <c r="A137" s="15" t="s">
        <v>77</v>
      </c>
      <c r="B137" s="15" t="s">
        <v>45</v>
      </c>
      <c r="C137" s="15" t="s">
        <v>46</v>
      </c>
      <c r="D137" s="15" t="s">
        <v>78</v>
      </c>
    </row>
    <row r="138" customFormat="false" ht="15" hidden="false" customHeight="true" outlineLevel="0" collapsed="false">
      <c r="A138" s="3" t="s">
        <v>316</v>
      </c>
      <c r="B138" s="9" t="n">
        <v>120</v>
      </c>
      <c r="C138" s="3" t="s">
        <v>252</v>
      </c>
      <c r="D138" s="5" t="s">
        <v>317</v>
      </c>
    </row>
    <row r="139" customFormat="false" ht="15" hidden="false" customHeight="true" outlineLevel="0" collapsed="false">
      <c r="A139" s="3" t="s">
        <v>318</v>
      </c>
      <c r="B139" s="9" t="n">
        <v>0</v>
      </c>
      <c r="C139" s="3" t="s">
        <v>319</v>
      </c>
      <c r="D139" s="5" t="s">
        <v>320</v>
      </c>
    </row>
    <row r="140" customFormat="false" ht="15" hidden="false" customHeight="true" outlineLevel="0" collapsed="false">
      <c r="A140" s="3" t="s">
        <v>321</v>
      </c>
      <c r="B140" s="13" t="n">
        <v>0.6</v>
      </c>
      <c r="C140" s="3" t="s">
        <v>257</v>
      </c>
      <c r="D140" s="5" t="s">
        <v>322</v>
      </c>
    </row>
    <row r="141" customFormat="false" ht="15" hidden="false" customHeight="true" outlineLevel="0" collapsed="false">
      <c r="A141" s="3" t="s">
        <v>323</v>
      </c>
      <c r="B141" s="13" t="n">
        <v>0.25</v>
      </c>
      <c r="C141" s="3" t="s">
        <v>257</v>
      </c>
      <c r="D141" s="5" t="s">
        <v>324</v>
      </c>
    </row>
    <row r="142" customFormat="false" ht="15" hidden="false" customHeight="true" outlineLevel="0" collapsed="false">
      <c r="A142" s="3" t="s">
        <v>325</v>
      </c>
      <c r="B142" s="13" t="n">
        <v>0.3</v>
      </c>
      <c r="C142" s="3" t="s">
        <v>257</v>
      </c>
      <c r="D142" s="5" t="s">
        <v>326</v>
      </c>
    </row>
    <row r="143" customFormat="false" ht="15" hidden="false" customHeight="true" outlineLevel="0" collapsed="false">
      <c r="A143" s="3" t="s">
        <v>327</v>
      </c>
      <c r="B143" s="13" t="n">
        <v>1.2</v>
      </c>
      <c r="C143" s="3" t="s">
        <v>257</v>
      </c>
      <c r="D143" s="5" t="s">
        <v>328</v>
      </c>
    </row>
    <row r="144" customFormat="false" ht="15" hidden="false" customHeight="true" outlineLevel="0" collapsed="false">
      <c r="A144" s="3" t="s">
        <v>329</v>
      </c>
      <c r="B144" s="9" t="n">
        <v>65</v>
      </c>
      <c r="C144" s="3" t="s">
        <v>82</v>
      </c>
      <c r="D144" s="5" t="s">
        <v>330</v>
      </c>
    </row>
    <row r="145" customFormat="false" ht="15" hidden="false" customHeight="true" outlineLevel="0" collapsed="false">
      <c r="A145" s="3" t="s">
        <v>331</v>
      </c>
      <c r="B145" s="9" t="n">
        <v>40</v>
      </c>
      <c r="C145" s="3" t="s">
        <v>82</v>
      </c>
      <c r="D145" s="5" t="s">
        <v>332</v>
      </c>
    </row>
    <row r="146" customFormat="false" ht="15" hidden="false" customHeight="true" outlineLevel="0" collapsed="false">
      <c r="A146" s="3" t="s">
        <v>333</v>
      </c>
      <c r="B146" s="13" t="n">
        <v>0.7</v>
      </c>
      <c r="C146" s="3" t="s">
        <v>82</v>
      </c>
      <c r="D146" s="5" t="s">
        <v>334</v>
      </c>
    </row>
    <row r="147" customFormat="false" ht="15" hidden="false" customHeight="true" outlineLevel="0" collapsed="false">
      <c r="A147" s="3" t="s">
        <v>335</v>
      </c>
      <c r="B147" s="13" t="n">
        <v>1.25</v>
      </c>
      <c r="C147" s="3" t="s">
        <v>89</v>
      </c>
      <c r="D147" s="5" t="s">
        <v>336</v>
      </c>
    </row>
    <row r="149" customFormat="false" ht="15" hidden="false" customHeight="true" outlineLevel="0" collapsed="false">
      <c r="A149" s="4" t="s">
        <v>337</v>
      </c>
    </row>
    <row r="150" customFormat="false" ht="15" hidden="false" customHeight="true" outlineLevel="0" collapsed="false">
      <c r="A150" s="15" t="s">
        <v>77</v>
      </c>
      <c r="B150" s="15" t="s">
        <v>45</v>
      </c>
      <c r="C150" s="15" t="s">
        <v>46</v>
      </c>
      <c r="D150" s="15" t="s">
        <v>78</v>
      </c>
    </row>
    <row r="151" customFormat="false" ht="15" hidden="false" customHeight="true" outlineLevel="0" collapsed="false">
      <c r="A151" s="3" t="s">
        <v>338</v>
      </c>
      <c r="B151" s="9" t="n">
        <v>2</v>
      </c>
      <c r="C151" s="3" t="s">
        <v>89</v>
      </c>
      <c r="D151" s="5" t="s">
        <v>339</v>
      </c>
    </row>
    <row r="152" customFormat="false" ht="15" hidden="false" customHeight="true" outlineLevel="0" collapsed="false">
      <c r="A152" s="3" t="s">
        <v>340</v>
      </c>
      <c r="B152" s="9" t="n">
        <v>20</v>
      </c>
      <c r="C152" s="3" t="s">
        <v>82</v>
      </c>
      <c r="D152" s="5" t="s">
        <v>341</v>
      </c>
    </row>
    <row r="153" customFormat="false" ht="15" hidden="false" customHeight="true" outlineLevel="0" collapsed="false">
      <c r="A153" s="3" t="s">
        <v>342</v>
      </c>
      <c r="B153" s="13" t="n">
        <v>1.5</v>
      </c>
      <c r="C153" s="3" t="s">
        <v>82</v>
      </c>
      <c r="D153" s="5" t="s">
        <v>343</v>
      </c>
    </row>
    <row r="154" customFormat="false" ht="15" hidden="false" customHeight="true" outlineLevel="0" collapsed="false">
      <c r="A154" s="3" t="s">
        <v>344</v>
      </c>
      <c r="B154" s="9" t="n">
        <v>2</v>
      </c>
      <c r="C154" s="3" t="s">
        <v>89</v>
      </c>
      <c r="D154" s="5" t="s">
        <v>345</v>
      </c>
    </row>
    <row r="155" customFormat="false" ht="15" hidden="false" customHeight="true" outlineLevel="0" collapsed="false">
      <c r="A155" s="3" t="s">
        <v>346</v>
      </c>
      <c r="B155" s="9" t="n">
        <v>4</v>
      </c>
      <c r="C155" s="3" t="s">
        <v>82</v>
      </c>
      <c r="D155" s="5" t="s">
        <v>347</v>
      </c>
    </row>
    <row r="156" customFormat="false" ht="15" hidden="false" customHeight="true" outlineLevel="0" collapsed="false">
      <c r="A156" s="3" t="s">
        <v>348</v>
      </c>
      <c r="B156" s="13" t="n">
        <v>0.4</v>
      </c>
      <c r="C156" s="3" t="s">
        <v>349</v>
      </c>
      <c r="D156" s="5" t="s">
        <v>350</v>
      </c>
    </row>
    <row r="157" customFormat="false" ht="15" hidden="false" customHeight="true" outlineLevel="0" collapsed="false">
      <c r="A157" s="3" t="s">
        <v>351</v>
      </c>
      <c r="B157" s="13" t="n">
        <v>2</v>
      </c>
      <c r="C157" s="3" t="s">
        <v>215</v>
      </c>
      <c r="D157" s="5" t="s">
        <v>216</v>
      </c>
    </row>
    <row r="158" customFormat="false" ht="15" hidden="false" customHeight="true" outlineLevel="0" collapsed="false">
      <c r="A158" s="3" t="s">
        <v>352</v>
      </c>
      <c r="B158" s="13" t="n">
        <v>4</v>
      </c>
      <c r="C158" s="3" t="s">
        <v>353</v>
      </c>
      <c r="D158" s="5" t="s">
        <v>354</v>
      </c>
    </row>
    <row r="159" customFormat="false" ht="15" hidden="false" customHeight="true" outlineLevel="0" collapsed="false">
      <c r="A159" s="3" t="s">
        <v>355</v>
      </c>
      <c r="B159" s="9" t="n">
        <v>25</v>
      </c>
      <c r="C159" s="3" t="s">
        <v>82</v>
      </c>
      <c r="D159" s="5" t="s">
        <v>356</v>
      </c>
    </row>
    <row r="160" customFormat="false" ht="15" hidden="false" customHeight="true" outlineLevel="0" collapsed="false">
      <c r="A160" s="3" t="s">
        <v>357</v>
      </c>
      <c r="B160" s="13" t="n">
        <v>0.02</v>
      </c>
      <c r="C160" s="3" t="s">
        <v>89</v>
      </c>
      <c r="D160" s="5" t="s">
        <v>358</v>
      </c>
    </row>
    <row r="161" customFormat="false" ht="15" hidden="false" customHeight="true" outlineLevel="0" collapsed="false">
      <c r="A161" s="3" t="s">
        <v>359</v>
      </c>
      <c r="B161" s="13" t="n">
        <v>3</v>
      </c>
      <c r="C161" s="3" t="s">
        <v>89</v>
      </c>
      <c r="D161" s="5" t="s">
        <v>360</v>
      </c>
    </row>
    <row r="162" customFormat="false" ht="15" hidden="false" customHeight="true" outlineLevel="0" collapsed="false">
      <c r="A162" s="3" t="s">
        <v>361</v>
      </c>
      <c r="B162" s="9" t="n">
        <v>230</v>
      </c>
      <c r="C162" s="3" t="s">
        <v>362</v>
      </c>
      <c r="D162" s="5" t="s">
        <v>363</v>
      </c>
    </row>
    <row r="163" customFormat="false" ht="15" hidden="false" customHeight="true" outlineLevel="0" collapsed="false">
      <c r="A163" s="3" t="s">
        <v>364</v>
      </c>
      <c r="B163" s="9" t="n">
        <v>3</v>
      </c>
      <c r="C163" s="3" t="s">
        <v>89</v>
      </c>
      <c r="D163" s="5" t="s">
        <v>365</v>
      </c>
    </row>
    <row r="164" customFormat="false" ht="15" hidden="false" customHeight="true" outlineLevel="0" collapsed="false">
      <c r="A164" s="3" t="s">
        <v>366</v>
      </c>
      <c r="B164" s="9" t="n">
        <v>200</v>
      </c>
      <c r="C164" s="3" t="s">
        <v>82</v>
      </c>
      <c r="D164" s="5" t="s">
        <v>367</v>
      </c>
    </row>
    <row r="165" customFormat="false" ht="15" hidden="false" customHeight="true" outlineLevel="0" collapsed="false">
      <c r="A165" s="3" t="s">
        <v>368</v>
      </c>
      <c r="B165" s="9" t="n">
        <v>2</v>
      </c>
      <c r="C165" s="3" t="s">
        <v>89</v>
      </c>
      <c r="D165" s="5" t="s">
        <v>369</v>
      </c>
    </row>
    <row r="166" customFormat="false" ht="15" hidden="false" customHeight="true" outlineLevel="0" collapsed="false">
      <c r="A166" s="3" t="s">
        <v>370</v>
      </c>
      <c r="B166" s="9" t="n">
        <v>20</v>
      </c>
      <c r="C166" s="3" t="s">
        <v>319</v>
      </c>
      <c r="D166" s="5" t="s">
        <v>371</v>
      </c>
    </row>
    <row r="167" customFormat="false" ht="15" hidden="false" customHeight="true" outlineLevel="0" collapsed="false">
      <c r="A167" s="3" t="s">
        <v>372</v>
      </c>
      <c r="B167" s="13" t="n">
        <v>1.2</v>
      </c>
      <c r="C167" s="3" t="s">
        <v>257</v>
      </c>
      <c r="D167" s="5" t="s">
        <v>373</v>
      </c>
    </row>
    <row r="168" customFormat="false" ht="15" hidden="false" customHeight="true" outlineLevel="0" collapsed="false">
      <c r="A168" s="3" t="s">
        <v>374</v>
      </c>
      <c r="B168" s="13" t="n">
        <v>0.53</v>
      </c>
      <c r="C168" s="3" t="s">
        <v>89</v>
      </c>
      <c r="D168" s="5" t="s">
        <v>375</v>
      </c>
    </row>
    <row r="169" customFormat="false" ht="15" hidden="false" customHeight="true" outlineLevel="0" collapsed="false">
      <c r="A169" s="4" t="s">
        <v>376</v>
      </c>
    </row>
    <row r="170" customFormat="false" ht="15" hidden="false" customHeight="true" outlineLevel="0" collapsed="false">
      <c r="A170" s="3" t="s">
        <v>377</v>
      </c>
      <c r="B170" s="9" t="n">
        <v>20</v>
      </c>
      <c r="C170" s="3" t="s">
        <v>82</v>
      </c>
      <c r="D170" s="5" t="s">
        <v>378</v>
      </c>
    </row>
    <row r="171" customFormat="false" ht="15" hidden="false" customHeight="true" outlineLevel="0" collapsed="false">
      <c r="A171" s="3" t="s">
        <v>379</v>
      </c>
      <c r="B171" s="9" t="n">
        <v>8</v>
      </c>
      <c r="C171" s="3" t="s">
        <v>82</v>
      </c>
      <c r="D171" s="5" t="s">
        <v>380</v>
      </c>
    </row>
    <row r="172" customFormat="false" ht="15" hidden="false" customHeight="true" outlineLevel="0" collapsed="false">
      <c r="A172" s="3" t="s">
        <v>381</v>
      </c>
      <c r="B172" s="13" t="n">
        <v>1.5</v>
      </c>
      <c r="C172" s="3" t="s">
        <v>82</v>
      </c>
      <c r="D172" s="5" t="s">
        <v>382</v>
      </c>
    </row>
    <row r="173" customFormat="false" ht="15" hidden="false" customHeight="true" outlineLevel="0" collapsed="false">
      <c r="A173" s="3" t="s">
        <v>383</v>
      </c>
      <c r="B173" s="9" t="n">
        <v>10</v>
      </c>
      <c r="C173" s="3" t="s">
        <v>82</v>
      </c>
      <c r="D173" s="5" t="s">
        <v>384</v>
      </c>
    </row>
    <row r="174" customFormat="false" ht="15" hidden="false" customHeight="true" outlineLevel="0" collapsed="false">
      <c r="A174" s="3" t="s">
        <v>385</v>
      </c>
      <c r="B174" s="9" t="n">
        <v>25</v>
      </c>
      <c r="C174" s="3" t="s">
        <v>82</v>
      </c>
      <c r="D174" s="5" t="s">
        <v>386</v>
      </c>
    </row>
    <row r="175" customFormat="false" ht="15" hidden="false" customHeight="true" outlineLevel="0" collapsed="false">
      <c r="A175" s="3" t="s">
        <v>387</v>
      </c>
      <c r="B175" s="9" t="n">
        <v>12</v>
      </c>
      <c r="C175" s="3" t="s">
        <v>82</v>
      </c>
      <c r="D175" s="5"/>
    </row>
    <row r="176" customFormat="false" ht="15" hidden="false" customHeight="true" outlineLevel="0" collapsed="false">
      <c r="A176" s="3" t="s">
        <v>388</v>
      </c>
      <c r="B176" s="9" t="n">
        <v>3</v>
      </c>
      <c r="C176" s="3"/>
      <c r="D176" s="5" t="s">
        <v>389</v>
      </c>
    </row>
    <row r="177" customFormat="false" ht="15" hidden="false" customHeight="true" outlineLevel="0" collapsed="false">
      <c r="A177" s="3" t="s">
        <v>390</v>
      </c>
      <c r="B177" s="13" t="n">
        <v>1.5</v>
      </c>
      <c r="C177" s="3" t="s">
        <v>353</v>
      </c>
      <c r="D177" s="5" t="s">
        <v>391</v>
      </c>
    </row>
    <row r="178" customFormat="false" ht="15" hidden="false" customHeight="true" outlineLevel="0" collapsed="false">
      <c r="A178" s="3" t="s">
        <v>392</v>
      </c>
      <c r="B178" s="13" t="n">
        <v>0.03</v>
      </c>
      <c r="C178" s="3" t="s">
        <v>89</v>
      </c>
      <c r="D178" s="5" t="s">
        <v>393</v>
      </c>
    </row>
    <row r="179" customFormat="false" ht="15" hidden="false" customHeight="true" outlineLevel="0" collapsed="false">
      <c r="A179" s="3" t="s">
        <v>394</v>
      </c>
      <c r="B179" s="13" t="n">
        <v>0.3</v>
      </c>
      <c r="C179" s="3" t="s">
        <v>89</v>
      </c>
      <c r="D179" s="5" t="s">
        <v>395</v>
      </c>
    </row>
    <row r="180" customFormat="false" ht="15" hidden="false" customHeight="false" outlineLevel="0" collapsed="false">
      <c r="A180" s="4" t="s">
        <v>396</v>
      </c>
    </row>
    <row r="181" customFormat="false" ht="15" hidden="false" customHeight="false" outlineLevel="0" collapsed="false">
      <c r="A181" s="3" t="s">
        <v>397</v>
      </c>
      <c r="B181" s="9" t="n">
        <v>10</v>
      </c>
      <c r="C181" s="3" t="s">
        <v>82</v>
      </c>
      <c r="D181" s="5" t="s">
        <v>398</v>
      </c>
    </row>
    <row r="182" customFormat="false" ht="15" hidden="false" customHeight="false" outlineLevel="0" collapsed="false">
      <c r="A182" s="3" t="s">
        <v>399</v>
      </c>
      <c r="B182" s="9" t="n">
        <v>4</v>
      </c>
      <c r="C182" s="3" t="s">
        <v>82</v>
      </c>
      <c r="D182" s="5" t="s">
        <v>400</v>
      </c>
    </row>
    <row r="183" customFormat="false" ht="15" hidden="false" customHeight="false" outlineLevel="0" collapsed="false">
      <c r="A183" s="3" t="s">
        <v>401</v>
      </c>
      <c r="B183" s="9" t="n">
        <v>2</v>
      </c>
      <c r="C183" s="3" t="s">
        <v>82</v>
      </c>
      <c r="D183" s="5" t="s">
        <v>402</v>
      </c>
    </row>
    <row r="184" customFormat="false" ht="15" hidden="false" customHeight="false" outlineLevel="0" collapsed="false">
      <c r="A184" s="3" t="s">
        <v>403</v>
      </c>
      <c r="B184" s="9" t="n">
        <v>8</v>
      </c>
      <c r="C184" s="3" t="s">
        <v>82</v>
      </c>
      <c r="D184" s="5" t="s">
        <v>404</v>
      </c>
    </row>
    <row r="185" customFormat="false" ht="15" hidden="false" customHeight="false" outlineLevel="0" collapsed="false">
      <c r="A185" s="3" t="s">
        <v>405</v>
      </c>
      <c r="B185" s="9" t="n">
        <v>6</v>
      </c>
      <c r="C185" s="3" t="s">
        <v>82</v>
      </c>
      <c r="D185" s="5" t="s">
        <v>406</v>
      </c>
    </row>
    <row r="186" customFormat="false" ht="15" hidden="false" customHeight="false" outlineLevel="0" collapsed="false">
      <c r="A186" s="3" t="s">
        <v>407</v>
      </c>
      <c r="B186" s="9" t="n">
        <v>2</v>
      </c>
      <c r="C186" s="3" t="s">
        <v>408</v>
      </c>
      <c r="D186" s="5" t="s">
        <v>409</v>
      </c>
    </row>
    <row r="187" customFormat="false" ht="15" hidden="false" customHeight="false" outlineLevel="0" collapsed="false">
      <c r="A187" s="3" t="s">
        <v>410</v>
      </c>
      <c r="B187" s="9" t="n">
        <v>1</v>
      </c>
      <c r="C187" s="3" t="s">
        <v>408</v>
      </c>
      <c r="D187" s="5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412</v>
      </c>
    </row>
    <row r="3" customFormat="false" ht="15" hidden="false" customHeight="true" outlineLevel="0" collapsed="false">
      <c r="A3" s="3" t="s">
        <v>413</v>
      </c>
      <c r="B3" s="3" t="s">
        <v>414</v>
      </c>
    </row>
    <row r="4" customFormat="false" ht="15" hidden="false" customHeight="true" outlineLevel="0" collapsed="false">
      <c r="A4" s="3"/>
      <c r="B4" s="3" t="s">
        <v>415</v>
      </c>
    </row>
    <row r="5" customFormat="false" ht="15" hidden="false" customHeight="true" outlineLevel="0" collapsed="false">
      <c r="A5" s="3"/>
      <c r="B5" s="3" t="s">
        <v>416</v>
      </c>
    </row>
    <row r="7" customFormat="false" ht="15" hidden="false" customHeight="true" outlineLevel="0" collapsed="false">
      <c r="A7" s="4" t="s">
        <v>417</v>
      </c>
      <c r="B7" s="4"/>
      <c r="C7" s="4"/>
      <c r="D7" s="4"/>
    </row>
    <row r="8" customFormat="false" ht="15" hidden="false" customHeight="true" outlineLevel="0" collapsed="false">
      <c r="A8" s="6" t="s">
        <v>77</v>
      </c>
      <c r="B8" s="6" t="s">
        <v>45</v>
      </c>
      <c r="C8" s="6" t="s">
        <v>46</v>
      </c>
      <c r="D8" s="6" t="s">
        <v>418</v>
      </c>
    </row>
    <row r="9" customFormat="false" ht="15" hidden="false" customHeight="true" outlineLevel="0" collapsed="false">
      <c r="A9" s="3" t="s">
        <v>419</v>
      </c>
      <c r="B9" s="16" t="n">
        <f aca="false">INDEX('02-GN-Normmasse'!$B$4:$B$11,MATCH('01-Eingaben'!$B$5,'02-GN-Normmasse'!$A$4:$A$11,0))</f>
        <v>176</v>
      </c>
      <c r="C9" s="3" t="s">
        <v>82</v>
      </c>
      <c r="D9" s="5" t="s">
        <v>420</v>
      </c>
    </row>
    <row r="10" customFormat="false" ht="15" hidden="false" customHeight="true" outlineLevel="0" collapsed="false">
      <c r="A10" s="3" t="s">
        <v>421</v>
      </c>
      <c r="B10" s="16" t="n">
        <f aca="false">INDEX('02-GN-Normmasse'!$C$4:$C$11,MATCH('01-Eingaben'!$B$5,'02-GN-Normmasse'!$A$4:$A$11,0))</f>
        <v>108</v>
      </c>
      <c r="C10" s="3" t="s">
        <v>82</v>
      </c>
      <c r="D10" s="5" t="s">
        <v>420</v>
      </c>
    </row>
    <row r="11" customFormat="false" ht="15" hidden="false" customHeight="true" outlineLevel="0" collapsed="false">
      <c r="A11" s="3" t="s">
        <v>422</v>
      </c>
      <c r="B11" s="16" t="n">
        <f aca="false">IF('01-Eingaben'!$B$9=1,'03-Modul'!$B$9,'03-Modul'!$B$10)</f>
        <v>176</v>
      </c>
      <c r="C11" s="3" t="s">
        <v>82</v>
      </c>
      <c r="D11" s="5" t="s">
        <v>423</v>
      </c>
    </row>
    <row r="12" customFormat="false" ht="15" hidden="false" customHeight="true" outlineLevel="0" collapsed="false">
      <c r="A12" s="3" t="s">
        <v>424</v>
      </c>
      <c r="B12" s="16" t="n">
        <f aca="false">IF('01-Eingaben'!$B$9=1,'03-Modul'!$B$10,'03-Modul'!$B$9)</f>
        <v>108</v>
      </c>
      <c r="C12" s="3" t="s">
        <v>82</v>
      </c>
      <c r="D12" s="5" t="s">
        <v>423</v>
      </c>
    </row>
    <row r="13" customFormat="false" ht="15" hidden="false" customHeight="true" outlineLevel="0" collapsed="false">
      <c r="A13" s="3" t="s">
        <v>425</v>
      </c>
      <c r="B13" s="17" t="n">
        <f aca="false">'03-Modul'!$B$9*'03-Modul'!$B$10/100</f>
        <v>190.08</v>
      </c>
      <c r="C13" s="3" t="s">
        <v>426</v>
      </c>
      <c r="D13" s="5" t="s">
        <v>427</v>
      </c>
    </row>
    <row r="14" customFormat="false" ht="15" hidden="false" customHeight="true" outlineLevel="0" collapsed="false">
      <c r="A14" s="4" t="s">
        <v>428</v>
      </c>
      <c r="B14" s="4"/>
      <c r="C14" s="4"/>
      <c r="D14" s="4"/>
    </row>
    <row r="15" customFormat="false" ht="15" hidden="false" customHeight="true" outlineLevel="0" collapsed="false">
      <c r="A15" s="6" t="s">
        <v>77</v>
      </c>
      <c r="B15" s="6" t="s">
        <v>45</v>
      </c>
      <c r="C15" s="6" t="s">
        <v>46</v>
      </c>
      <c r="D15" s="6" t="s">
        <v>418</v>
      </c>
    </row>
    <row r="16" customFormat="false" ht="15" hidden="false" customHeight="true" outlineLevel="0" collapsed="false">
      <c r="A16" s="3" t="s">
        <v>429</v>
      </c>
      <c r="B16" s="16" t="n">
        <f aca="false">ROUNDUP('01-Eingaben'!$B$7/'01-Eingaben'!$B$8,0)</f>
        <v>3</v>
      </c>
      <c r="C16" s="3" t="s">
        <v>84</v>
      </c>
      <c r="D16" s="5" t="s">
        <v>430</v>
      </c>
    </row>
    <row r="17" customFormat="false" ht="15" hidden="false" customHeight="true" outlineLevel="0" collapsed="false">
      <c r="A17" s="3" t="s">
        <v>431</v>
      </c>
      <c r="B17" s="16" t="n">
        <f aca="false">'01-Eingaben'!$B$8*'03-Modul'!$B$16</f>
        <v>6</v>
      </c>
      <c r="C17" s="3" t="s">
        <v>84</v>
      </c>
      <c r="D17" s="5" t="s">
        <v>432</v>
      </c>
    </row>
    <row r="18" customFormat="false" ht="15" hidden="false" customHeight="true" outlineLevel="0" collapsed="false">
      <c r="A18" s="3" t="s">
        <v>433</v>
      </c>
      <c r="B18" s="16" t="n">
        <f aca="false">'03-Modul'!$B$17-'01-Eingaben'!$B$7</f>
        <v>0</v>
      </c>
      <c r="C18" s="3" t="s">
        <v>84</v>
      </c>
      <c r="D18" s="5" t="s">
        <v>434</v>
      </c>
    </row>
    <row r="19" customFormat="false" ht="15" hidden="false" customHeight="true" outlineLevel="0" collapsed="false">
      <c r="A19" s="3" t="s">
        <v>435</v>
      </c>
      <c r="B19" s="16" t="n">
        <f aca="false">'01-Eingaben'!$B$8*'03-Modul'!$B$11+('01-Eingaben'!$B$8-1)*'01-Eingaben'!$B$10</f>
        <v>354</v>
      </c>
      <c r="C19" s="3" t="s">
        <v>82</v>
      </c>
      <c r="D19" s="5" t="s">
        <v>436</v>
      </c>
    </row>
    <row r="20" customFormat="false" ht="15" hidden="false" customHeight="true" outlineLevel="0" collapsed="false">
      <c r="A20" s="3" t="s">
        <v>437</v>
      </c>
      <c r="B20" s="16" t="n">
        <f aca="false">'03-Modul'!$B$16*'03-Modul'!$B$12+('03-Modul'!$B$16-1)*'01-Eingaben'!$B$10</f>
        <v>328</v>
      </c>
      <c r="C20" s="3" t="s">
        <v>82</v>
      </c>
      <c r="D20" s="5" t="s">
        <v>436</v>
      </c>
    </row>
    <row r="21" customFormat="false" ht="15" hidden="false" customHeight="true" outlineLevel="0" collapsed="false">
      <c r="A21" s="18" t="s">
        <v>438</v>
      </c>
      <c r="B21" s="19" t="n">
        <f aca="false">'01-Eingaben'!$B$7*'03-Modul'!$B$13/10000</f>
        <v>0.114048</v>
      </c>
      <c r="C21" s="3" t="s">
        <v>439</v>
      </c>
      <c r="D21" s="5" t="s">
        <v>440</v>
      </c>
    </row>
    <row r="22" customFormat="false" ht="15" hidden="false" customHeight="true" outlineLevel="0" collapsed="false">
      <c r="A22" s="18" t="s">
        <v>441</v>
      </c>
      <c r="B22" s="19" t="n">
        <f aca="false">'03-Modul'!$B$19*'03-Modul'!$B$20/1000000</f>
        <v>0.116112</v>
      </c>
      <c r="C22" s="3" t="s">
        <v>439</v>
      </c>
      <c r="D22" s="5" t="s">
        <v>442</v>
      </c>
    </row>
    <row r="23" customFormat="false" ht="15" hidden="false" customHeight="true" outlineLevel="0" collapsed="false">
      <c r="A23" s="3" t="s">
        <v>443</v>
      </c>
      <c r="B23" s="20" t="n">
        <f aca="false">'03-Modul'!$B$21/'03-Modul'!$B$22</f>
        <v>0.982224059528731</v>
      </c>
      <c r="C23" s="3" t="s">
        <v>89</v>
      </c>
      <c r="D23" s="5" t="s">
        <v>444</v>
      </c>
    </row>
    <row r="24" customFormat="false" ht="15" hidden="false" customHeight="true" outlineLevel="0" collapsed="false">
      <c r="A24" s="4" t="s">
        <v>445</v>
      </c>
      <c r="B24" s="4"/>
      <c r="C24" s="4"/>
      <c r="D24" s="4"/>
    </row>
    <row r="25" customFormat="false" ht="15" hidden="false" customHeight="true" outlineLevel="0" collapsed="false">
      <c r="A25" s="6" t="s">
        <v>77</v>
      </c>
      <c r="B25" s="6" t="s">
        <v>45</v>
      </c>
      <c r="C25" s="6" t="s">
        <v>46</v>
      </c>
      <c r="D25" s="6" t="s">
        <v>418</v>
      </c>
    </row>
    <row r="26" customFormat="false" ht="15" hidden="false" customHeight="true" outlineLevel="0" collapsed="false">
      <c r="A26" s="3" t="s">
        <v>446</v>
      </c>
      <c r="B26" s="16" t="n">
        <f aca="false">'03-Modul'!$B$19+2*'01-Eingaben'!$B$11</f>
        <v>404</v>
      </c>
      <c r="C26" s="3" t="s">
        <v>82</v>
      </c>
      <c r="D26" s="5" t="s">
        <v>447</v>
      </c>
    </row>
    <row r="27" customFormat="false" ht="15" hidden="false" customHeight="true" outlineLevel="0" collapsed="false">
      <c r="A27" s="3" t="s">
        <v>448</v>
      </c>
      <c r="B27" s="16" t="n">
        <f aca="false">'03-Modul'!$B$20+2*'01-Eingaben'!$B$11</f>
        <v>378</v>
      </c>
      <c r="C27" s="3" t="s">
        <v>82</v>
      </c>
      <c r="D27" s="5" t="s">
        <v>447</v>
      </c>
    </row>
    <row r="28" customFormat="false" ht="15" hidden="false" customHeight="true" outlineLevel="0" collapsed="false">
      <c r="A28" s="18" t="s">
        <v>449</v>
      </c>
      <c r="B28" s="21" t="n">
        <f aca="false">'01-Eingaben'!$B$12+'01-Eingaben'!$B$6+'01-Eingaben'!$B$15+'01-Eingaben'!$B$16+'01-Eingaben'!$B$17+'01-Eingaben'!$B$18</f>
        <v>340</v>
      </c>
      <c r="C28" s="3" t="s">
        <v>82</v>
      </c>
      <c r="D28" s="5" t="s">
        <v>450</v>
      </c>
    </row>
    <row r="29" customFormat="false" ht="15" hidden="false" customHeight="true" outlineLevel="0" collapsed="false">
      <c r="A29" s="3" t="s">
        <v>451</v>
      </c>
      <c r="B29" s="17" t="n">
        <f aca="false">2*'01-Eingaben'!$B$36+'01-Eingaben'!$B$37</f>
        <v>22</v>
      </c>
      <c r="C29" s="3" t="s">
        <v>82</v>
      </c>
      <c r="D29" s="5" t="s">
        <v>452</v>
      </c>
    </row>
    <row r="30" customFormat="false" ht="15" hidden="false" customHeight="true" outlineLevel="0" collapsed="false">
      <c r="A30" s="4" t="s">
        <v>453</v>
      </c>
      <c r="B30" s="4"/>
      <c r="C30" s="4"/>
      <c r="D30" s="4"/>
    </row>
    <row r="31" customFormat="false" ht="15" hidden="false" customHeight="true" outlineLevel="0" collapsed="false">
      <c r="A31" s="6" t="s">
        <v>77</v>
      </c>
      <c r="B31" s="6" t="s">
        <v>45</v>
      </c>
      <c r="C31" s="6" t="s">
        <v>46</v>
      </c>
      <c r="D31" s="6" t="s">
        <v>418</v>
      </c>
    </row>
    <row r="32" customFormat="false" ht="15" hidden="false" customHeight="true" outlineLevel="0" collapsed="false">
      <c r="A32" s="18" t="s">
        <v>454</v>
      </c>
      <c r="B32" s="21" t="n">
        <f aca="false">'03-Modul'!$B$26+2*'03-Modul'!$B$29</f>
        <v>448</v>
      </c>
      <c r="C32" s="3" t="s">
        <v>82</v>
      </c>
      <c r="D32" s="5" t="s">
        <v>455</v>
      </c>
    </row>
    <row r="33" customFormat="false" ht="15" hidden="false" customHeight="true" outlineLevel="0" collapsed="false">
      <c r="A33" s="18" t="s">
        <v>456</v>
      </c>
      <c r="B33" s="21" t="n">
        <f aca="false">'03-Modul'!$B$27+2*'03-Modul'!$B$29</f>
        <v>422</v>
      </c>
      <c r="C33" s="3" t="s">
        <v>82</v>
      </c>
      <c r="D33" s="5" t="s">
        <v>455</v>
      </c>
    </row>
    <row r="34" customFormat="false" ht="15" hidden="false" customHeight="true" outlineLevel="0" collapsed="false">
      <c r="A34" s="18" t="s">
        <v>457</v>
      </c>
      <c r="B34" s="21" t="n">
        <f aca="false">'03-Modul'!$B$28+2*'03-Modul'!$B$29</f>
        <v>384</v>
      </c>
      <c r="C34" s="3" t="s">
        <v>82</v>
      </c>
      <c r="D34" s="5" t="s">
        <v>455</v>
      </c>
    </row>
    <row r="35" customFormat="false" ht="15" hidden="false" customHeight="true" outlineLevel="0" collapsed="false">
      <c r="A35" s="18" t="s">
        <v>458</v>
      </c>
      <c r="B35" s="22" t="n">
        <f aca="false">2*('03-Modul'!$B$32*'03-Modul'!$B$33+'03-Modul'!$B$32*'03-Modul'!$B$34+'03-Modul'!$B$33*'03-Modul'!$B$34)/1000000</f>
        <v>1.046272</v>
      </c>
      <c r="C35" s="3" t="s">
        <v>439</v>
      </c>
      <c r="D35" s="5" t="s">
        <v>459</v>
      </c>
    </row>
    <row r="36" customFormat="false" ht="15" hidden="false" customHeight="true" outlineLevel="0" collapsed="false">
      <c r="A36" s="3" t="s">
        <v>460</v>
      </c>
      <c r="B36" s="23" t="n">
        <f aca="false">'03-Modul'!$B$32*'03-Modul'!$B$33/1000000</f>
        <v>0.189056</v>
      </c>
      <c r="C36" s="3" t="s">
        <v>439</v>
      </c>
      <c r="D36" s="5" t="s">
        <v>461</v>
      </c>
    </row>
    <row r="37" customFormat="false" ht="15" hidden="false" customHeight="true" outlineLevel="0" collapsed="false">
      <c r="A37" s="3" t="s">
        <v>462</v>
      </c>
      <c r="B37" s="23" t="n">
        <f aca="false">2*('03-Modul'!$B$26*'03-Modul'!$B$27+'03-Modul'!$B$26*'03-Modul'!$B$28+'03-Modul'!$B$27*'03-Modul'!$B$28)/1000000</f>
        <v>0.837184</v>
      </c>
      <c r="C37" s="3" t="s">
        <v>439</v>
      </c>
      <c r="D37" s="5" t="s">
        <v>463</v>
      </c>
    </row>
    <row r="38" customFormat="false" ht="15" hidden="false" customHeight="true" outlineLevel="0" collapsed="false">
      <c r="A38" s="3" t="s">
        <v>464</v>
      </c>
      <c r="B38" s="23" t="n">
        <f aca="false">'03-Modul'!$B$36*2</f>
        <v>0.378112</v>
      </c>
      <c r="C38" s="3" t="s">
        <v>439</v>
      </c>
      <c r="D38" s="5" t="s">
        <v>465</v>
      </c>
    </row>
    <row r="39" customFormat="false" ht="15" hidden="false" customHeight="true" outlineLevel="0" collapsed="false">
      <c r="A39" s="3" t="s">
        <v>466</v>
      </c>
      <c r="B39" s="23" t="n">
        <f aca="false">'03-Modul'!$B$35-'03-Modul'!$B$38</f>
        <v>0.66816</v>
      </c>
      <c r="C39" s="3" t="s">
        <v>439</v>
      </c>
      <c r="D39" s="5" t="s">
        <v>467</v>
      </c>
    </row>
    <row r="40" customFormat="false" ht="15" hidden="false" customHeight="true" outlineLevel="0" collapsed="false">
      <c r="A40" s="3" t="s">
        <v>468</v>
      </c>
      <c r="B40" s="23" t="n">
        <f aca="false">2*'03-Modul'!$B$26*'03-Modul'!$B$27/1000000</f>
        <v>0.305424</v>
      </c>
      <c r="C40" s="3" t="s">
        <v>439</v>
      </c>
      <c r="D40" s="5" t="s">
        <v>469</v>
      </c>
    </row>
    <row r="41" customFormat="false" ht="15" hidden="false" customHeight="true" outlineLevel="0" collapsed="false">
      <c r="A41" s="4" t="s">
        <v>470</v>
      </c>
      <c r="B41" s="4"/>
      <c r="C41" s="4"/>
      <c r="D41" s="4"/>
    </row>
    <row r="42" customFormat="false" ht="15" hidden="false" customHeight="true" outlineLevel="0" collapsed="false">
      <c r="A42" s="6" t="s">
        <v>77</v>
      </c>
      <c r="B42" s="6" t="s">
        <v>45</v>
      </c>
      <c r="C42" s="6" t="s">
        <v>46</v>
      </c>
      <c r="D42" s="6" t="s">
        <v>418</v>
      </c>
    </row>
    <row r="43" customFormat="false" ht="15" hidden="false" customHeight="true" outlineLevel="0" collapsed="false">
      <c r="A43" s="3" t="s">
        <v>471</v>
      </c>
      <c r="B43" s="16" t="n">
        <f aca="false">'03-Modul'!$B$32-2*'01-Eingaben'!$B$36</f>
        <v>446</v>
      </c>
      <c r="C43" s="3" t="s">
        <v>82</v>
      </c>
      <c r="D43" s="5" t="s">
        <v>472</v>
      </c>
    </row>
    <row r="44" customFormat="false" ht="15" hidden="false" customHeight="true" outlineLevel="0" collapsed="false">
      <c r="A44" s="3" t="s">
        <v>473</v>
      </c>
      <c r="B44" s="16" t="n">
        <f aca="false">'03-Modul'!$B$33-2*'01-Eingaben'!$B$36</f>
        <v>420</v>
      </c>
      <c r="C44" s="3" t="s">
        <v>82</v>
      </c>
      <c r="D44" s="5" t="s">
        <v>472</v>
      </c>
    </row>
    <row r="45" customFormat="false" ht="15" hidden="false" customHeight="true" outlineLevel="0" collapsed="false">
      <c r="A45" s="3" t="s">
        <v>474</v>
      </c>
      <c r="B45" s="16" t="n">
        <f aca="false">'03-Modul'!$B$34-2*'01-Eingaben'!$B$36</f>
        <v>382</v>
      </c>
      <c r="C45" s="3" t="s">
        <v>82</v>
      </c>
      <c r="D45" s="5" t="s">
        <v>472</v>
      </c>
    </row>
    <row r="46" customFormat="false" ht="15" hidden="false" customHeight="true" outlineLevel="0" collapsed="false">
      <c r="A46" s="18" t="s">
        <v>475</v>
      </c>
      <c r="B46" s="24" t="n">
        <f aca="false">'01-Eingaben'!$B$36+'01-Eingaben'!$B$37</f>
        <v>21</v>
      </c>
      <c r="C46" s="3" t="s">
        <v>82</v>
      </c>
      <c r="D46" s="5" t="s">
        <v>476</v>
      </c>
    </row>
    <row r="47" customFormat="false" ht="15" hidden="false" customHeight="true" outlineLevel="0" collapsed="false">
      <c r="A47" s="3" t="s">
        <v>477</v>
      </c>
      <c r="B47" s="25" t="n">
        <f aca="false">'03-Modul'!$B$43*'03-Modul'!$B$44*'03-Modul'!$B$45/1000000000</f>
        <v>0.07155624</v>
      </c>
      <c r="C47" s="3" t="s">
        <v>478</v>
      </c>
      <c r="D47" s="5" t="s">
        <v>479</v>
      </c>
    </row>
    <row r="48" customFormat="false" ht="15" hidden="false" customHeight="true" outlineLevel="0" collapsed="false">
      <c r="A48" s="3" t="s">
        <v>480</v>
      </c>
      <c r="B48" s="25" t="n">
        <f aca="false">'03-Modul'!$B$26*'03-Modul'!$B$27*'03-Modul'!$B$28/1000000000</f>
        <v>0.05192208</v>
      </c>
      <c r="C48" s="3" t="s">
        <v>478</v>
      </c>
      <c r="D48" s="5" t="s">
        <v>481</v>
      </c>
    </row>
    <row r="49" customFormat="false" ht="15" hidden="false" customHeight="true" outlineLevel="0" collapsed="false">
      <c r="A49" s="4" t="s">
        <v>482</v>
      </c>
      <c r="B49" s="4"/>
      <c r="C49" s="4"/>
      <c r="D49" s="4"/>
    </row>
    <row r="50" customFormat="false" ht="15" hidden="false" customHeight="true" outlineLevel="0" collapsed="false">
      <c r="A50" s="6" t="s">
        <v>77</v>
      </c>
      <c r="B50" s="6" t="s">
        <v>45</v>
      </c>
      <c r="C50" s="6" t="s">
        <v>46</v>
      </c>
      <c r="D50" s="6" t="s">
        <v>418</v>
      </c>
    </row>
    <row r="51" customFormat="false" ht="15" hidden="false" customHeight="true" outlineLevel="0" collapsed="false">
      <c r="A51" s="18" t="s">
        <v>483</v>
      </c>
      <c r="B51" s="22" t="n">
        <f aca="false">('03-Modul'!$B$66+'03-Modul'!$B$67)*(1+'01-Eingaben'!$B$41)</f>
        <v>1.7028053703604</v>
      </c>
      <c r="C51" s="3" t="s">
        <v>439</v>
      </c>
      <c r="D51" s="5" t="s">
        <v>484</v>
      </c>
    </row>
    <row r="52" customFormat="false" ht="15" hidden="false" customHeight="true" outlineLevel="0" collapsed="false">
      <c r="A52" s="18" t="s">
        <v>485</v>
      </c>
      <c r="B52" s="22" t="n">
        <f aca="false">('03-Modul'!$B$66+'03-Modul'!$B$67+'03-Modul'!$B$37)*(1+'01-Eingaben'!$B$41)</f>
        <v>2.6655669703604</v>
      </c>
      <c r="C52" s="3" t="s">
        <v>439</v>
      </c>
      <c r="D52" s="5" t="s">
        <v>486</v>
      </c>
    </row>
    <row r="53" customFormat="false" ht="15" hidden="false" customHeight="true" outlineLevel="0" collapsed="false">
      <c r="A53" s="3" t="s">
        <v>487</v>
      </c>
      <c r="B53" s="25" t="n">
        <f aca="false">('03-Modul'!$B$35+'03-Modul'!$B$37)/2*'01-Eingaben'!$B$37/1000</f>
        <v>0.01883456</v>
      </c>
      <c r="C53" s="3" t="s">
        <v>478</v>
      </c>
      <c r="D53" s="5" t="s">
        <v>488</v>
      </c>
    </row>
    <row r="54" customFormat="false" ht="15" hidden="false" customHeight="true" outlineLevel="0" collapsed="false">
      <c r="A54" s="18" t="s">
        <v>489</v>
      </c>
      <c r="B54" s="22" t="n">
        <f aca="false">('03-Modul'!$B$66+'03-Modul'!$B$67+'03-Modul'!$B$40)*(1+'01-Eingaben'!$B$41)</f>
        <v>2.0540429703604</v>
      </c>
      <c r="C54" s="3" t="s">
        <v>439</v>
      </c>
      <c r="D54" s="5" t="s">
        <v>490</v>
      </c>
    </row>
    <row r="55" customFormat="false" ht="15" hidden="false" customHeight="true" outlineLevel="0" collapsed="false">
      <c r="A55" s="3" t="s">
        <v>491</v>
      </c>
      <c r="B55" s="25" t="n">
        <f aca="false">('03-Modul'!$B$38+'03-Modul'!$B$40)/2*'01-Eingaben'!$B$37/1000</f>
        <v>0.00683536</v>
      </c>
      <c r="C55" s="3" t="s">
        <v>478</v>
      </c>
      <c r="D55" s="5" t="s">
        <v>492</v>
      </c>
    </row>
    <row r="56" customFormat="false" ht="15" hidden="false" customHeight="true" outlineLevel="0" collapsed="false">
      <c r="A56" s="3" t="s">
        <v>493</v>
      </c>
      <c r="B56" s="20" t="n">
        <f aca="false">2*'03-Modul'!$B$16*'03-Modul'!$B$26/1000</f>
        <v>2.424</v>
      </c>
      <c r="C56" s="3" t="s">
        <v>276</v>
      </c>
      <c r="D56" s="5" t="s">
        <v>494</v>
      </c>
    </row>
    <row r="57" customFormat="false" ht="15" hidden="false" customHeight="true" outlineLevel="0" collapsed="false">
      <c r="A57" s="3" t="s">
        <v>495</v>
      </c>
      <c r="B57" s="26" t="str">
        <f aca="false">"Liner und Daemmung nachruestbar, solange die Aussenschale nach diesem Aussenmass gefertigt wurde"</f>
        <v>Liner und Daemmung nachruestbar, solange die Aussenschale nach diesem Aussenmass gefertigt wurde</v>
      </c>
      <c r="C57" s="3"/>
      <c r="D57" s="5"/>
    </row>
    <row r="59" customFormat="false" ht="15" hidden="false" customHeight="true" outlineLevel="0" collapsed="false">
      <c r="A59" s="4" t="s">
        <v>496</v>
      </c>
    </row>
    <row r="60" customFormat="false" ht="15" hidden="false" customHeight="true" outlineLevel="0" collapsed="false">
      <c r="A60" s="6" t="s">
        <v>77</v>
      </c>
      <c r="B60" s="6" t="s">
        <v>45</v>
      </c>
      <c r="C60" s="6" t="s">
        <v>46</v>
      </c>
      <c r="D60" s="6" t="s">
        <v>418</v>
      </c>
    </row>
    <row r="61" customFormat="false" ht="15" hidden="false" customHeight="true" outlineLevel="0" collapsed="false">
      <c r="A61" s="18" t="s">
        <v>497</v>
      </c>
      <c r="B61" s="22" t="n">
        <f aca="false">(('03-Modul'!$B$32-2*'01-Eingaben'!$B$36-2*'01-Eingaben'!$B$183)/COS(RADIANS('01-Eingaben'!$B$187)))*(('03-Modul'!$B$33-2*'01-Eingaben'!$B$36-2*'01-Eingaben'!$B$183)/COS(RADIANS('01-Eingaben'!$B$186)))/1000000+2*((('03-Modul'!$B$32-2*'01-Eingaben'!$B$36-2*'01-Eingaben'!$B$183)/COS(RADIANS('01-Eingaben'!$B$187)))+(('03-Modul'!$B$33-2*'01-Eingaben'!$B$36-2*'01-Eingaben'!$B$183)/COS(RADIANS('01-Eingaben'!$B$186))))*'01-Eingaben'!$B$181/1000000</f>
        <v>0.201178522052519</v>
      </c>
      <c r="C61" s="3" t="s">
        <v>439</v>
      </c>
      <c r="D61" s="5" t="s">
        <v>498</v>
      </c>
    </row>
    <row r="62" customFormat="false" ht="15" hidden="false" customHeight="true" outlineLevel="0" collapsed="false">
      <c r="A62" s="18" t="s">
        <v>499</v>
      </c>
      <c r="B62" s="22" t="n">
        <f aca="false">(2*(2*'01-Eingaben'!$B$12+8)+('01-Eingaben'!$B$8-1)*(2*'01-Eingaben'!$B$12+2*8+'01-Eingaben'!$B$10))*'03-Modul'!$B$27/1000000</f>
        <v>0.046872</v>
      </c>
      <c r="C62" s="3" t="s">
        <v>439</v>
      </c>
      <c r="D62" s="5" t="s">
        <v>500</v>
      </c>
    </row>
    <row r="63" customFormat="false" ht="15" hidden="false" customHeight="true" outlineLevel="0" collapsed="false">
      <c r="A63" s="18" t="s">
        <v>501</v>
      </c>
      <c r="B63" s="22" t="n">
        <f aca="false">2*(2*'01-Eingaben'!$B$12+20)*'03-Modul'!$B$26/1000000</f>
        <v>0.0404</v>
      </c>
      <c r="C63" s="3" t="s">
        <v>439</v>
      </c>
      <c r="D63" s="5" t="s">
        <v>502</v>
      </c>
    </row>
    <row r="64" customFormat="false" ht="15" hidden="false" customHeight="true" outlineLevel="0" collapsed="false">
      <c r="A64" s="18" t="s">
        <v>503</v>
      </c>
      <c r="B64" s="22" t="n">
        <f aca="false">(2*'03-Modul'!$B$27+'03-Modul'!$B$20)*'01-Eingaben'!$B$12*0.53/1000000</f>
        <v>0.0086178</v>
      </c>
      <c r="C64" s="3" t="s">
        <v>439</v>
      </c>
      <c r="D64" s="5" t="s">
        <v>504</v>
      </c>
    </row>
    <row r="65" customFormat="false" ht="15" hidden="false" customHeight="true" outlineLevel="0" collapsed="false">
      <c r="A65" s="18" t="s">
        <v>505</v>
      </c>
      <c r="B65" s="27" t="n">
        <f aca="false">'03-Modul'!$B$61+'03-Modul'!$B$62+'03-Modul'!$B$63+'03-Modul'!$B$64</f>
        <v>0.297068322052519</v>
      </c>
      <c r="C65" s="3" t="s">
        <v>439</v>
      </c>
      <c r="D65" s="5" t="s">
        <v>506</v>
      </c>
    </row>
    <row r="66" customFormat="false" ht="15" hidden="false" customHeight="true" outlineLevel="0" collapsed="false">
      <c r="A66" s="18" t="s">
        <v>507</v>
      </c>
      <c r="B66" s="27" t="n">
        <f aca="false">'03-Modul'!$B$35+'03-Modul'!$B$65</f>
        <v>1.34334032205252</v>
      </c>
      <c r="C66" s="3" t="s">
        <v>439</v>
      </c>
      <c r="D66" s="5" t="s">
        <v>508</v>
      </c>
    </row>
    <row r="67" customFormat="false" ht="15" hidden="false" customHeight="true" outlineLevel="0" collapsed="false">
      <c r="A67" s="18" t="s">
        <v>509</v>
      </c>
      <c r="B67" s="22" t="n">
        <f aca="false">('03-Modul'!$B$26*'03-Modul'!$B$28)/1000000</f>
        <v>0.13736</v>
      </c>
      <c r="C67" s="3" t="s">
        <v>439</v>
      </c>
      <c r="D67" s="5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511</v>
      </c>
    </row>
    <row r="3" customFormat="false" ht="15" hidden="false" customHeight="true" outlineLevel="0" collapsed="false">
      <c r="A3" s="4" t="s">
        <v>512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418</v>
      </c>
    </row>
    <row r="5" customFormat="false" ht="15" hidden="false" customHeight="true" outlineLevel="0" collapsed="false">
      <c r="A5" s="18" t="s">
        <v>513</v>
      </c>
      <c r="B5" s="21" t="n">
        <f aca="false">ROUNDUP(('03-Modul'!$B$34+2*'01-Eingaben'!$B$25)/'01-Eingaben'!$B$24,0)*'01-Eingaben'!$B$24</f>
        <v>400</v>
      </c>
      <c r="C5" s="3" t="s">
        <v>82</v>
      </c>
      <c r="D5" s="5" t="s">
        <v>514</v>
      </c>
    </row>
    <row r="6" customFormat="false" ht="15" hidden="false" customHeight="true" outlineLevel="0" collapsed="false">
      <c r="A6" s="3" t="s">
        <v>515</v>
      </c>
      <c r="B6" s="16" t="n">
        <f aca="false">'04-Rack'!$B$5-'03-Modul'!$B$34-2*'01-Eingaben'!$B$25</f>
        <v>10</v>
      </c>
      <c r="C6" s="3" t="s">
        <v>82</v>
      </c>
      <c r="D6" s="5" t="s">
        <v>516</v>
      </c>
    </row>
    <row r="7" customFormat="false" ht="15" hidden="false" customHeight="true" outlineLevel="0" collapsed="false">
      <c r="A7" s="3" t="s">
        <v>244</v>
      </c>
      <c r="B7" s="16" t="n">
        <f aca="false">'01-Eingaben'!$B$94</f>
        <v>0</v>
      </c>
      <c r="C7" s="3" t="s">
        <v>82</v>
      </c>
      <c r="D7" s="5" t="s">
        <v>517</v>
      </c>
    </row>
    <row r="8" customFormat="false" ht="15" hidden="false" customHeight="true" outlineLevel="0" collapsed="false">
      <c r="A8" s="3" t="s">
        <v>518</v>
      </c>
      <c r="B8" s="16" t="n">
        <v>0</v>
      </c>
      <c r="C8" s="3" t="s">
        <v>82</v>
      </c>
      <c r="D8" s="5" t="s">
        <v>519</v>
      </c>
    </row>
    <row r="9" customFormat="false" ht="15" hidden="false" customHeight="true" outlineLevel="0" collapsed="false">
      <c r="A9" s="4" t="s">
        <v>520</v>
      </c>
      <c r="B9" s="4"/>
      <c r="C9" s="4"/>
      <c r="D9" s="4"/>
    </row>
    <row r="10" customFormat="false" ht="15" hidden="false" customHeight="true" outlineLevel="0" collapsed="false">
      <c r="A10" s="6" t="s">
        <v>77</v>
      </c>
      <c r="B10" s="6" t="s">
        <v>45</v>
      </c>
      <c r="C10" s="6" t="s">
        <v>46</v>
      </c>
      <c r="D10" s="6" t="s">
        <v>418</v>
      </c>
    </row>
    <row r="11" customFormat="false" ht="15" hidden="false" customHeight="true" outlineLevel="0" collapsed="false">
      <c r="A11" s="3" t="s">
        <v>521</v>
      </c>
      <c r="B11" s="16" t="n">
        <f aca="false">MAX('01-Eingaben'!$B$133*('03-Modul'!$B$32+2*'01-Eingaben'!$B$25)+('01-Eingaben'!$B$133-1)*'01-Eingaben'!$B$26,'04-Rack'!$B$8)</f>
        <v>454</v>
      </c>
      <c r="C11" s="3" t="s">
        <v>82</v>
      </c>
      <c r="D11" s="5" t="s">
        <v>522</v>
      </c>
    </row>
    <row r="12" customFormat="false" ht="15" hidden="false" customHeight="true" outlineLevel="0" collapsed="false">
      <c r="A12" s="18" t="s">
        <v>523</v>
      </c>
      <c r="B12" s="21" t="n">
        <f aca="false">'04-Rack'!$B$11+2*'01-Eingaben'!$B$26</f>
        <v>514</v>
      </c>
      <c r="C12" s="3" t="s">
        <v>82</v>
      </c>
      <c r="D12" s="5" t="s">
        <v>524</v>
      </c>
    </row>
    <row r="13" customFormat="false" ht="15" hidden="false" customHeight="true" outlineLevel="0" collapsed="false">
      <c r="A13" s="18" t="s">
        <v>525</v>
      </c>
      <c r="B13" s="21" t="n">
        <f aca="false">2*'01-Eingaben'!$B$26+'01-Eingaben'!$B$134*('01-Eingaben'!$B$25+'03-Modul'!$B$33+'01-Eingaben'!$B$92)+ROUNDUP('01-Eingaben'!$B$134/2,0)*'01-Eingaben'!$B$93</f>
        <v>550</v>
      </c>
      <c r="C13" s="3" t="s">
        <v>82</v>
      </c>
      <c r="D13" s="5" t="s">
        <v>526</v>
      </c>
    </row>
    <row r="14" customFormat="false" ht="15" hidden="false" customHeight="true" outlineLevel="0" collapsed="false">
      <c r="A14" s="18" t="s">
        <v>527</v>
      </c>
      <c r="B14" s="21" t="n">
        <f aca="false">'01-Eingaben'!$B$22*'04-Rack'!$B$5+'04-Rack'!$B$7+'01-Eingaben'!$B$27+2*'01-Eingaben'!$B$26</f>
        <v>1720</v>
      </c>
      <c r="C14" s="3" t="s">
        <v>82</v>
      </c>
      <c r="D14" s="5" t="s">
        <v>528</v>
      </c>
    </row>
    <row r="15" customFormat="false" ht="15" hidden="false" customHeight="true" outlineLevel="0" collapsed="false">
      <c r="A15" s="18" t="s">
        <v>529</v>
      </c>
      <c r="B15" s="22" t="n">
        <f aca="false">'04-Rack'!$B$12*'04-Rack'!$B$13/1000000</f>
        <v>0.2827</v>
      </c>
      <c r="C15" s="3" t="s">
        <v>439</v>
      </c>
      <c r="D15" s="5" t="s">
        <v>530</v>
      </c>
    </row>
    <row r="16" customFormat="false" ht="15" hidden="false" customHeight="true" outlineLevel="0" collapsed="false">
      <c r="A16" s="4" t="s">
        <v>531</v>
      </c>
      <c r="B16" s="4"/>
      <c r="C16" s="4"/>
      <c r="D16" s="4"/>
    </row>
    <row r="17" customFormat="false" ht="15" hidden="false" customHeight="true" outlineLevel="0" collapsed="false">
      <c r="A17" s="6" t="s">
        <v>77</v>
      </c>
      <c r="B17" s="6" t="s">
        <v>45</v>
      </c>
      <c r="C17" s="6" t="s">
        <v>46</v>
      </c>
      <c r="D17" s="6" t="s">
        <v>418</v>
      </c>
    </row>
    <row r="18" customFormat="false" ht="15" hidden="false" customHeight="true" outlineLevel="0" collapsed="false">
      <c r="A18" s="18" t="s">
        <v>532</v>
      </c>
      <c r="B18" s="19" t="n">
        <f aca="false">'03-Modul'!$B$21*'01-Eingaben'!$B$96</f>
        <v>0.114048</v>
      </c>
      <c r="C18" s="3" t="s">
        <v>439</v>
      </c>
      <c r="D18" s="5" t="s">
        <v>533</v>
      </c>
    </row>
    <row r="19" customFormat="false" ht="15" hidden="false" customHeight="true" outlineLevel="0" collapsed="false">
      <c r="A19" s="3" t="s">
        <v>534</v>
      </c>
      <c r="B19" s="25" t="n">
        <f aca="false">'03-Modul'!$B$22*'01-Eingaben'!$B$96</f>
        <v>0.116112</v>
      </c>
      <c r="C19" s="3" t="s">
        <v>439</v>
      </c>
      <c r="D19" s="5" t="s">
        <v>533</v>
      </c>
    </row>
    <row r="20" customFormat="false" ht="15" hidden="false" customHeight="true" outlineLevel="0" collapsed="false">
      <c r="A20" s="18" t="s">
        <v>535</v>
      </c>
      <c r="B20" s="21" t="n">
        <f aca="false">'01-Eingaben'!$B$7*'01-Eingaben'!$B$96</f>
        <v>6</v>
      </c>
      <c r="C20" s="3" t="s">
        <v>84</v>
      </c>
      <c r="D20" s="5" t="s">
        <v>536</v>
      </c>
    </row>
    <row r="21" customFormat="false" ht="15" hidden="false" customHeight="true" outlineLevel="0" collapsed="false">
      <c r="A21" s="18" t="s">
        <v>537</v>
      </c>
      <c r="B21" s="28" t="n">
        <f aca="false">'04-Rack'!$B$18/'04-Rack'!$B$15</f>
        <v>0.403424124513619</v>
      </c>
      <c r="C21" s="3" t="s">
        <v>538</v>
      </c>
      <c r="D21" s="5" t="s">
        <v>539</v>
      </c>
    </row>
    <row r="22" customFormat="false" ht="15" hidden="false" customHeight="true" outlineLevel="0" collapsed="false">
      <c r="A22" s="4" t="s">
        <v>540</v>
      </c>
      <c r="B22" s="4"/>
      <c r="C22" s="4"/>
      <c r="D22" s="4"/>
    </row>
    <row r="23" customFormat="false" ht="15" hidden="false" customHeight="true" outlineLevel="0" collapsed="false">
      <c r="A23" s="6" t="s">
        <v>77</v>
      </c>
      <c r="B23" s="6" t="s">
        <v>45</v>
      </c>
      <c r="C23" s="6" t="s">
        <v>46</v>
      </c>
      <c r="D23" s="6" t="s">
        <v>418</v>
      </c>
    </row>
    <row r="24" customFormat="false" ht="15" hidden="false" customHeight="true" outlineLevel="0" collapsed="false">
      <c r="A24" s="18" t="s">
        <v>541</v>
      </c>
      <c r="B24" s="28" t="n">
        <f aca="false">(('01-Eingaben'!$B$133+1)*('01-Eingaben'!$B$134+1)*('04-Rack'!$B$14-25)+IF('01-Eingaben'!$B$151=1,'01-Eingaben'!$B$22+2,2)*(('01-Eingaben'!$B$134+1)*('04-Rack'!$B$11-('01-Eingaben'!$B$133-1)*'01-Eingaben'!$B$26)+('01-Eingaben'!$B$133+1)*('04-Rack'!$B$13-('01-Eingaben'!$B$134+1)*'01-Eingaben'!$B$26)))/1000</f>
        <v>10.556</v>
      </c>
      <c r="C24" s="3" t="s">
        <v>276</v>
      </c>
      <c r="D24" s="5" t="s">
        <v>542</v>
      </c>
    </row>
    <row r="25" customFormat="false" ht="15" hidden="false" customHeight="true" outlineLevel="0" collapsed="false">
      <c r="A25" s="3" t="s">
        <v>543</v>
      </c>
      <c r="B25" s="23" t="n">
        <f aca="false">IF('01-Eingaben'!$B$163=1,'04-Rack'!$B$11,IF('01-Eingaben'!$B$163=2,'01-Eingaben'!$B$164,0))*'04-Rack'!$B$14/1000000*(1+'01-Eingaben'!$B$41)*ROUNDUP('01-Eingaben'!$B$134/2,0)</f>
        <v>0</v>
      </c>
      <c r="C25" s="3" t="s">
        <v>439</v>
      </c>
      <c r="D25" s="5" t="s">
        <v>544</v>
      </c>
    </row>
    <row r="26" customFormat="false" ht="15" hidden="false" customHeight="true" outlineLevel="0" collapsed="false">
      <c r="A26" s="18" t="s">
        <v>545</v>
      </c>
      <c r="B26" s="22" t="n">
        <f aca="false">'03-Modul'!$B$52*'01-Eingaben'!$B$23+'03-Modul'!$B$51*('01-Eingaben'!$B$96-'01-Eingaben'!$B$23)+'04-Rack'!$B$25</f>
        <v>1.7028053703604</v>
      </c>
      <c r="C26" s="3" t="s">
        <v>439</v>
      </c>
      <c r="D26" s="5" t="s">
        <v>546</v>
      </c>
    </row>
    <row r="27" customFormat="false" ht="15" hidden="false" customHeight="true" outlineLevel="0" collapsed="false">
      <c r="A27" s="3" t="s">
        <v>547</v>
      </c>
      <c r="B27" s="26" t="str">
        <f aca="false">IF(AND('01-Eingaben'!$B$96&lt;='04-Rack'!$B$37,'01-Eingaben'!$B$23&lt;='01-Eingaben'!$B$96),"ok","FEHLER: mehr Module als Modulplaetze oder mehr gedaemmte als bestueckte")</f>
        <v>ok</v>
      </c>
      <c r="C27" s="3"/>
      <c r="D27" s="5"/>
    </row>
    <row r="28" customFormat="false" ht="15" hidden="false" customHeight="true" outlineLevel="0" collapsed="false">
      <c r="A28" s="4" t="s">
        <v>548</v>
      </c>
      <c r="B28" s="4" t="n">
        <f aca="false">'04-Rack'!$B$37-'01-Eingaben'!$B$96</f>
        <v>3</v>
      </c>
      <c r="C28" s="4" t="s">
        <v>84</v>
      </c>
      <c r="D28" s="4" t="s">
        <v>549</v>
      </c>
    </row>
    <row r="29" customFormat="false" ht="15" hidden="false" customHeight="true" outlineLevel="0" collapsed="false">
      <c r="A29" s="6" t="s">
        <v>550</v>
      </c>
      <c r="B29" s="6" t="s">
        <v>551</v>
      </c>
      <c r="C29" s="6"/>
      <c r="D29" s="6" t="s">
        <v>552</v>
      </c>
    </row>
    <row r="30" customFormat="false" ht="15" hidden="false" customHeight="true" outlineLevel="0" collapsed="false">
      <c r="A30" s="3" t="s">
        <v>553</v>
      </c>
      <c r="B30" s="26" t="str">
        <f aca="false">IF('01-Eingaben'!$B$7&lt;='03-Modul'!$B$17,"ok","FEHLER: Spaltenzahl erhoehen")</f>
        <v>ok</v>
      </c>
      <c r="C30" s="3"/>
      <c r="D30" s="5"/>
    </row>
    <row r="31" customFormat="false" ht="15" hidden="false" customHeight="true" outlineLevel="0" collapsed="false">
      <c r="A31" s="3" t="s">
        <v>554</v>
      </c>
      <c r="B31" s="26" t="str">
        <f aca="false">IF('04-Rack'!$B$8&gt;'03-Modul'!$B$32+2*'01-Eingaben'!$B$25,"Technikfach — Modul koennte breiter werden","Modul")</f>
        <v>Modul</v>
      </c>
      <c r="C31" s="3"/>
      <c r="D31" s="5" t="s">
        <v>555</v>
      </c>
    </row>
    <row r="32" customFormat="false" ht="15" hidden="false" customHeight="true" outlineLevel="0" collapsed="false">
      <c r="A32" s="3" t="s">
        <v>556</v>
      </c>
      <c r="B32" s="26" t="str">
        <f aca="false">IF('04-Rack'!$B$6&lt;='01-Eingaben'!$B$24/2,"ok","viel Rundungsverlust — Rastermass oder Modulhoehe anpassen")</f>
        <v>ok</v>
      </c>
      <c r="C32" s="3"/>
      <c r="D32" s="5"/>
    </row>
    <row r="33" customFormat="false" ht="15" hidden="false" customHeight="true" outlineLevel="0" collapsed="false">
      <c r="A33" s="3" t="s">
        <v>557</v>
      </c>
      <c r="B33" s="26" t="str">
        <f aca="false">IF('04-Rack'!$B$14&lt;=2000,"ok — oberste Etage ohne Tritt erreichbar","oberste Etage nur mit Tritt bedienbar")</f>
        <v>ok — oberste Etage ohne Tritt erreichbar</v>
      </c>
      <c r="C33" s="3"/>
      <c r="D33" s="5" t="s">
        <v>558</v>
      </c>
    </row>
    <row r="35" customFormat="false" ht="15" hidden="false" customHeight="true" outlineLevel="0" collapsed="false">
      <c r="A35" s="4" t="s">
        <v>559</v>
      </c>
      <c r="B35" s="4"/>
      <c r="C35" s="4"/>
      <c r="D35" s="4"/>
    </row>
    <row r="36" customFormat="false" ht="15" hidden="false" customHeight="true" outlineLevel="0" collapsed="false">
      <c r="A36" s="6" t="s">
        <v>77</v>
      </c>
      <c r="B36" s="6" t="s">
        <v>45</v>
      </c>
      <c r="C36" s="6" t="s">
        <v>46</v>
      </c>
      <c r="D36" s="6" t="s">
        <v>418</v>
      </c>
    </row>
    <row r="37" customFormat="false" ht="15" hidden="false" customHeight="true" outlineLevel="0" collapsed="false">
      <c r="A37" s="18" t="s">
        <v>560</v>
      </c>
      <c r="B37" s="21" t="n">
        <f aca="false">'01-Eingaben'!$B$133*'01-Eingaben'!$B$134*'01-Eingaben'!$B$22</f>
        <v>4</v>
      </c>
      <c r="C37" s="3" t="s">
        <v>84</v>
      </c>
      <c r="D37" s="5" t="s">
        <v>561</v>
      </c>
    </row>
    <row r="38" customFormat="false" ht="15" hidden="false" customHeight="true" outlineLevel="0" collapsed="false">
      <c r="A38" s="18" t="s">
        <v>562</v>
      </c>
      <c r="B38" s="21" t="n">
        <f aca="false">'01-Eingaben'!$B$133*'01-Eingaben'!$B$134</f>
        <v>1</v>
      </c>
      <c r="C38" s="3" t="s">
        <v>84</v>
      </c>
      <c r="D38" s="5" t="s">
        <v>563</v>
      </c>
    </row>
    <row r="39" customFormat="false" ht="15" hidden="false" customHeight="true" outlineLevel="0" collapsed="false">
      <c r="A39" s="18" t="s">
        <v>564</v>
      </c>
      <c r="B39" s="21" t="n">
        <f aca="false">ROUNDUP('01-Eingaben'!$B$96/'04-Rack'!$B$38,0)</f>
        <v>1</v>
      </c>
      <c r="C39" s="3" t="s">
        <v>84</v>
      </c>
      <c r="D39" s="5" t="s">
        <v>565</v>
      </c>
    </row>
    <row r="40" customFormat="false" ht="15" hidden="false" customHeight="true" outlineLevel="0" collapsed="false">
      <c r="A40" s="18" t="s">
        <v>566</v>
      </c>
      <c r="B40" s="29" t="str">
        <f aca="false">IF('01-Eingaben'!$B$134=1,"einseitig — Rack gehoert an die Wand","beidseitig — Rack steht frei im Raum")</f>
        <v>einseitig — Rack gehoert an die Wand</v>
      </c>
      <c r="C40" s="3"/>
      <c r="D40" s="5" t="s">
        <v>567</v>
      </c>
    </row>
    <row r="41" customFormat="false" ht="15" hidden="false" customHeight="true" outlineLevel="0" collapsed="false">
      <c r="A41" s="18" t="s">
        <v>568</v>
      </c>
      <c r="B41" s="29" t="str">
        <f aca="false">IF('01-Eingaben'!$B$134&lt;=2,"ok","FEHLER: mehr als zwei Reihen sind ohne Bediengang nicht erreichbar")</f>
        <v>ok</v>
      </c>
      <c r="C41" s="3"/>
      <c r="D41" s="5" t="s">
        <v>569</v>
      </c>
    </row>
    <row r="42" customFormat="false" ht="15" hidden="false" customHeight="true" outlineLevel="0" collapsed="false">
      <c r="A42" s="18" t="s">
        <v>570</v>
      </c>
      <c r="B42" s="28" t="n">
        <f aca="false">'04-Rack'!$B$24/'04-Rack'!$B$37</f>
        <v>2.639</v>
      </c>
      <c r="C42" s="3" t="s">
        <v>571</v>
      </c>
      <c r="D42" s="5" t="s">
        <v>572</v>
      </c>
    </row>
    <row r="43" customFormat="false" ht="15" hidden="false" customHeight="true" outlineLevel="0" collapsed="false">
      <c r="A43" s="18" t="s">
        <v>573</v>
      </c>
      <c r="B43" s="22" t="n">
        <f aca="false">'04-Rack'!$B$15/'04-Rack'!$B$37</f>
        <v>0.070675</v>
      </c>
      <c r="C43" s="3" t="s">
        <v>574</v>
      </c>
      <c r="D43" s="5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576</v>
      </c>
    </row>
    <row r="3" customFormat="false" ht="15" hidden="false" customHeight="true" outlineLevel="0" collapsed="false">
      <c r="A3" s="4" t="s">
        <v>577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418</v>
      </c>
    </row>
    <row r="5" customFormat="false" ht="15" hidden="false" customHeight="true" outlineLevel="0" collapsed="false">
      <c r="A5" s="3" t="s">
        <v>578</v>
      </c>
      <c r="B5" s="17" t="n">
        <f aca="false">'01-Eingaben'!$B$44*'03-Modul'!$B$22</f>
        <v>23.2224</v>
      </c>
      <c r="C5" s="3" t="s">
        <v>579</v>
      </c>
      <c r="D5" s="5" t="s">
        <v>580</v>
      </c>
    </row>
    <row r="6" customFormat="false" ht="15" hidden="false" customHeight="true" outlineLevel="0" collapsed="false">
      <c r="A6" s="3" t="s">
        <v>581</v>
      </c>
      <c r="B6" s="17" t="n">
        <f aca="false">'05-Licht'!$B$5/'01-Eingaben'!$B$46</f>
        <v>12.9013333333333</v>
      </c>
      <c r="C6" s="3" t="s">
        <v>167</v>
      </c>
      <c r="D6" s="5" t="s">
        <v>582</v>
      </c>
    </row>
    <row r="7" customFormat="false" ht="15" hidden="false" customHeight="true" outlineLevel="0" collapsed="false">
      <c r="A7" s="3" t="s">
        <v>583</v>
      </c>
      <c r="B7" s="20" t="n">
        <f aca="false">'05-Licht'!$B$6/'01-Eingaben'!$B$47</f>
        <v>0.92152380952381</v>
      </c>
      <c r="C7" s="3" t="s">
        <v>276</v>
      </c>
      <c r="D7" s="5" t="s">
        <v>584</v>
      </c>
    </row>
    <row r="8" customFormat="false" ht="15" hidden="false" customHeight="true" outlineLevel="0" collapsed="false">
      <c r="A8" s="3" t="s">
        <v>585</v>
      </c>
      <c r="B8" s="20" t="n">
        <f aca="false">'03-Modul'!$B$19/1000*'03-Modul'!$B$16</f>
        <v>1.062</v>
      </c>
      <c r="C8" s="3" t="s">
        <v>276</v>
      </c>
      <c r="D8" s="5" t="s">
        <v>586</v>
      </c>
    </row>
    <row r="9" customFormat="false" ht="15" hidden="false" customHeight="true" outlineLevel="0" collapsed="false">
      <c r="A9" s="18" t="s">
        <v>587</v>
      </c>
      <c r="B9" s="24" t="n">
        <f aca="false">ROUNDUP(MAX('05-Licht'!$B$7,'05-Licht'!$B$8)*10,0)/10</f>
        <v>1.1</v>
      </c>
      <c r="C9" s="3" t="s">
        <v>276</v>
      </c>
      <c r="D9" s="5" t="s">
        <v>588</v>
      </c>
    </row>
    <row r="10" customFormat="false" ht="15" hidden="false" customHeight="true" outlineLevel="0" collapsed="false">
      <c r="A10" s="4" t="s">
        <v>589</v>
      </c>
      <c r="B10" s="4"/>
      <c r="C10" s="4"/>
      <c r="D10" s="4"/>
    </row>
    <row r="11" customFormat="false" ht="15" hidden="false" customHeight="true" outlineLevel="0" collapsed="false">
      <c r="A11" s="6" t="s">
        <v>77</v>
      </c>
      <c r="B11" s="6" t="s">
        <v>45</v>
      </c>
      <c r="C11" s="6" t="s">
        <v>46</v>
      </c>
      <c r="D11" s="6" t="s">
        <v>418</v>
      </c>
    </row>
    <row r="12" customFormat="false" ht="15" hidden="false" customHeight="true" outlineLevel="0" collapsed="false">
      <c r="A12" s="18" t="s">
        <v>590</v>
      </c>
      <c r="B12" s="24" t="n">
        <f aca="false">'05-Licht'!$B$9*'01-Eingaben'!$B$47</f>
        <v>15.4</v>
      </c>
      <c r="C12" s="3" t="s">
        <v>167</v>
      </c>
      <c r="D12" s="5" t="s">
        <v>591</v>
      </c>
    </row>
    <row r="13" customFormat="false" ht="15" hidden="false" customHeight="true" outlineLevel="0" collapsed="false">
      <c r="A13" s="18" t="s">
        <v>592</v>
      </c>
      <c r="B13" s="24" t="n">
        <f aca="false">'05-Licht'!$B$12*'01-Eingaben'!$B$96</f>
        <v>15.4</v>
      </c>
      <c r="C13" s="3" t="s">
        <v>167</v>
      </c>
      <c r="D13" s="5" t="s">
        <v>533</v>
      </c>
    </row>
    <row r="14" customFormat="false" ht="15" hidden="false" customHeight="true" outlineLevel="0" collapsed="false">
      <c r="A14" s="18" t="s">
        <v>593</v>
      </c>
      <c r="B14" s="21" t="n">
        <f aca="false">'05-Licht'!$B$12*'01-Eingaben'!$B$46/'03-Modul'!$B$22</f>
        <v>238.735014468789</v>
      </c>
      <c r="C14" s="3" t="s">
        <v>147</v>
      </c>
      <c r="D14" s="5" t="s">
        <v>594</v>
      </c>
    </row>
    <row r="15" customFormat="false" ht="15" hidden="false" customHeight="true" outlineLevel="0" collapsed="false">
      <c r="A15" s="18" t="s">
        <v>595</v>
      </c>
      <c r="B15" s="24" t="n">
        <f aca="false">'05-Licht'!$B$14*'01-Eingaben'!$B$45*3600/1000000</f>
        <v>13.7511368334022</v>
      </c>
      <c r="C15" s="3" t="s">
        <v>596</v>
      </c>
      <c r="D15" s="5" t="s">
        <v>597</v>
      </c>
    </row>
    <row r="16" customFormat="false" ht="15" hidden="false" customHeight="true" outlineLevel="0" collapsed="false">
      <c r="A16" s="3" t="s">
        <v>598</v>
      </c>
      <c r="B16" s="26" t="str">
        <f aca="false">IF('05-Licht'!$B$15&lt;6,"zu niedrig — vergeilte Pflanzen",IF('05-Licht'!$B$15&gt;16,"hoch — Blattbrand und Stromkosten pruefen","im Zielbereich"))</f>
        <v>im Zielbereich</v>
      </c>
      <c r="C16" s="3"/>
      <c r="D16" s="5" t="s">
        <v>599</v>
      </c>
    </row>
    <row r="17" customFormat="false" ht="15" hidden="false" customHeight="true" outlineLevel="0" collapsed="false">
      <c r="A17" s="3" t="s">
        <v>600</v>
      </c>
      <c r="B17" s="23" t="n">
        <f aca="false">'05-Licht'!$B$13*'01-Eingaben'!$B$45/1000</f>
        <v>0.2464</v>
      </c>
      <c r="C17" s="3" t="s">
        <v>601</v>
      </c>
      <c r="D17" s="5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603</v>
      </c>
    </row>
    <row r="3" customFormat="false" ht="15" hidden="false" customHeight="true" outlineLevel="0" collapsed="false">
      <c r="A3" s="3" t="s">
        <v>604</v>
      </c>
      <c r="B3" s="3" t="s">
        <v>605</v>
      </c>
    </row>
    <row r="4" customFormat="false" ht="15" hidden="false" customHeight="true" outlineLevel="0" collapsed="false">
      <c r="A4" s="3"/>
      <c r="B4" s="3" t="s">
        <v>606</v>
      </c>
    </row>
    <row r="5" customFormat="false" ht="15" hidden="false" customHeight="true" outlineLevel="0" collapsed="false">
      <c r="A5" s="3"/>
      <c r="B5" s="3" t="s">
        <v>607</v>
      </c>
    </row>
    <row r="7" customFormat="false" ht="15" hidden="false" customHeight="true" outlineLevel="0" collapsed="false">
      <c r="A7" s="4" t="s">
        <v>608</v>
      </c>
      <c r="B7" s="4"/>
      <c r="C7" s="4"/>
      <c r="D7" s="4"/>
    </row>
    <row r="8" customFormat="false" ht="15" hidden="false" customHeight="true" outlineLevel="0" collapsed="false">
      <c r="A8" s="6" t="s">
        <v>77</v>
      </c>
      <c r="B8" s="6" t="s">
        <v>45</v>
      </c>
      <c r="C8" s="6" t="s">
        <v>46</v>
      </c>
      <c r="D8" s="6" t="s">
        <v>418</v>
      </c>
    </row>
    <row r="9" customFormat="false" ht="15" hidden="false" customHeight="true" outlineLevel="0" collapsed="false">
      <c r="A9" s="3" t="s">
        <v>609</v>
      </c>
      <c r="B9" s="17" t="n">
        <f aca="false">'05-Licht'!$B$12*'01-Eingaben'!$B$52</f>
        <v>14.63</v>
      </c>
      <c r="C9" s="3" t="s">
        <v>167</v>
      </c>
      <c r="D9" s="5" t="s">
        <v>610</v>
      </c>
    </row>
    <row r="10" customFormat="false" ht="15" hidden="false" customHeight="true" outlineLevel="0" collapsed="false">
      <c r="A10" s="18" t="s">
        <v>611</v>
      </c>
      <c r="B10" s="24" t="n">
        <f aca="false">'06-Klima'!$B$9+'01-Eingaben'!$B$53</f>
        <v>16.13</v>
      </c>
      <c r="C10" s="3" t="s">
        <v>167</v>
      </c>
      <c r="D10" s="5" t="s">
        <v>612</v>
      </c>
    </row>
    <row r="11" customFormat="false" ht="15" hidden="false" customHeight="true" outlineLevel="0" collapsed="false">
      <c r="A11" s="4" t="s">
        <v>613</v>
      </c>
      <c r="B11" s="4"/>
      <c r="C11" s="4"/>
      <c r="D11" s="4"/>
    </row>
    <row r="12" customFormat="false" ht="15" hidden="false" customHeight="true" outlineLevel="0" collapsed="false">
      <c r="A12" s="6" t="s">
        <v>77</v>
      </c>
      <c r="B12" s="6" t="s">
        <v>45</v>
      </c>
      <c r="C12" s="6" t="s">
        <v>46</v>
      </c>
      <c r="D12" s="6" t="s">
        <v>418</v>
      </c>
    </row>
    <row r="13" customFormat="false" ht="15" hidden="false" customHeight="true" outlineLevel="0" collapsed="false">
      <c r="A13" s="18" t="s">
        <v>614</v>
      </c>
      <c r="B13" s="28" t="n">
        <f aca="false">1/(1/'01-Eingaben'!$B$39+1/'01-Eingaben'!$B$40)</f>
        <v>4</v>
      </c>
      <c r="C13" s="3" t="s">
        <v>139</v>
      </c>
      <c r="D13" s="5" t="s">
        <v>615</v>
      </c>
    </row>
    <row r="14" customFormat="false" ht="15" hidden="false" customHeight="true" outlineLevel="0" collapsed="false">
      <c r="A14" s="3" t="s">
        <v>616</v>
      </c>
      <c r="B14" s="20" t="n">
        <f aca="false">'06-Klima'!$B$13*'03-Modul'!$B$35</f>
        <v>4.185088</v>
      </c>
      <c r="C14" s="3" t="s">
        <v>617</v>
      </c>
      <c r="D14" s="5" t="s">
        <v>618</v>
      </c>
    </row>
    <row r="15" customFormat="false" ht="15" hidden="false" customHeight="true" outlineLevel="0" collapsed="false">
      <c r="A15" s="18" t="s">
        <v>619</v>
      </c>
      <c r="B15" s="24" t="n">
        <f aca="false">'06-Klima'!$B$10/'06-Klima'!$B$14</f>
        <v>3.85416029483729</v>
      </c>
      <c r="C15" s="3" t="s">
        <v>620</v>
      </c>
      <c r="D15" s="5" t="s">
        <v>621</v>
      </c>
    </row>
    <row r="16" customFormat="false" ht="15" hidden="false" customHeight="true" outlineLevel="0" collapsed="false">
      <c r="A16" s="18" t="s">
        <v>622</v>
      </c>
      <c r="B16" s="24" t="n">
        <f aca="false">'01-Eingaben'!$B$50+'06-Klima'!$B$15</f>
        <v>23.8541602948373</v>
      </c>
      <c r="C16" s="3" t="s">
        <v>160</v>
      </c>
      <c r="D16" s="5" t="s">
        <v>623</v>
      </c>
    </row>
    <row r="17" customFormat="false" ht="15" hidden="false" customHeight="true" outlineLevel="0" collapsed="false">
      <c r="A17" s="4" t="s">
        <v>624</v>
      </c>
      <c r="B17" s="4"/>
      <c r="C17" s="4"/>
      <c r="D17" s="4"/>
    </row>
    <row r="18" customFormat="false" ht="15" hidden="false" customHeight="true" outlineLevel="0" collapsed="false">
      <c r="A18" s="6" t="s">
        <v>77</v>
      </c>
      <c r="B18" s="6" t="s">
        <v>45</v>
      </c>
      <c r="C18" s="6" t="s">
        <v>46</v>
      </c>
      <c r="D18" s="6" t="s">
        <v>418</v>
      </c>
    </row>
    <row r="19" customFormat="false" ht="15" hidden="false" customHeight="true" outlineLevel="0" collapsed="false">
      <c r="A19" s="18" t="s">
        <v>614</v>
      </c>
      <c r="B19" s="28" t="n">
        <f aca="false">1/(1/'01-Eingaben'!$B$39+'01-Eingaben'!$B$37/1000/'01-Eingaben'!$B$38+1/'01-Eingaben'!$B$40)</f>
        <v>1.33333333333333</v>
      </c>
      <c r="C19" s="3" t="s">
        <v>139</v>
      </c>
      <c r="D19" s="5" t="s">
        <v>625</v>
      </c>
    </row>
    <row r="20" customFormat="false" ht="15" hidden="false" customHeight="true" outlineLevel="0" collapsed="false">
      <c r="A20" s="3" t="s">
        <v>616</v>
      </c>
      <c r="B20" s="20" t="n">
        <f aca="false">'06-Klima'!$B$19*'03-Modul'!$B$35</f>
        <v>1.39502933333333</v>
      </c>
      <c r="C20" s="3" t="s">
        <v>617</v>
      </c>
      <c r="D20" s="5" t="s">
        <v>618</v>
      </c>
    </row>
    <row r="21" customFormat="false" ht="15" hidden="false" customHeight="true" outlineLevel="0" collapsed="false">
      <c r="A21" s="18" t="s">
        <v>619</v>
      </c>
      <c r="B21" s="24" t="n">
        <f aca="false">'06-Klima'!$B$10/'06-Klima'!$B$20</f>
        <v>11.5624808845119</v>
      </c>
      <c r="C21" s="3" t="s">
        <v>620</v>
      </c>
      <c r="D21" s="5" t="s">
        <v>621</v>
      </c>
    </row>
    <row r="22" customFormat="false" ht="15" hidden="false" customHeight="true" outlineLevel="0" collapsed="false">
      <c r="A22" s="18" t="s">
        <v>622</v>
      </c>
      <c r="B22" s="24" t="n">
        <f aca="false">'01-Eingaben'!$B$50+'06-Klima'!$B$21</f>
        <v>31.5624808845119</v>
      </c>
      <c r="C22" s="3" t="s">
        <v>160</v>
      </c>
      <c r="D22" s="5" t="s">
        <v>623</v>
      </c>
    </row>
    <row r="23" customFormat="false" ht="15" hidden="false" customHeight="true" outlineLevel="0" collapsed="false">
      <c r="A23" s="18" t="s">
        <v>626</v>
      </c>
      <c r="B23" s="24" t="n">
        <f aca="false">'06-Klima'!$B$21-'06-Klima'!$B$15</f>
        <v>7.70832058967458</v>
      </c>
      <c r="C23" s="3" t="s">
        <v>620</v>
      </c>
      <c r="D23" s="5" t="s">
        <v>627</v>
      </c>
    </row>
    <row r="24" customFormat="false" ht="15" hidden="false" customHeight="true" outlineLevel="0" collapsed="false">
      <c r="A24" s="4" t="s">
        <v>628</v>
      </c>
      <c r="B24" s="4"/>
      <c r="C24" s="4"/>
      <c r="D24" s="4"/>
    </row>
    <row r="25" customFormat="false" ht="15" hidden="false" customHeight="true" outlineLevel="0" collapsed="false">
      <c r="A25" s="6" t="s">
        <v>77</v>
      </c>
      <c r="B25" s="6" t="s">
        <v>45</v>
      </c>
      <c r="C25" s="6" t="s">
        <v>46</v>
      </c>
      <c r="D25" s="6" t="s">
        <v>418</v>
      </c>
    </row>
    <row r="26" customFormat="false" ht="15" hidden="false" customHeight="true" outlineLevel="0" collapsed="false">
      <c r="A26" s="18" t="s">
        <v>629</v>
      </c>
      <c r="B26" s="24" t="n">
        <f aca="false">IF('01-Eingaben'!$B$51&lt;='01-Eingaben'!$B$50,0,MAX(0,'06-Klima'!$B$10-'06-Klima'!$B$14*('01-Eingaben'!$B$51-'01-Eingaben'!$B$50))/(1.2*1005*('01-Eingaben'!$B$51-'01-Eingaben'!$B$50))*3600)</f>
        <v>11.5818268656716</v>
      </c>
      <c r="C26" s="3" t="s">
        <v>630</v>
      </c>
      <c r="D26" s="5" t="s">
        <v>631</v>
      </c>
    </row>
    <row r="27" customFormat="false" ht="15" hidden="false" customHeight="true" outlineLevel="0" collapsed="false">
      <c r="A27" s="18" t="s">
        <v>632</v>
      </c>
      <c r="B27" s="24" t="n">
        <f aca="false">IF('01-Eingaben'!$B$51&lt;='01-Eingaben'!$B$50,0,MAX(0,'06-Klima'!$B$10-'06-Klima'!$B$20*('01-Eingaben'!$B$51-'01-Eingaben'!$B$50))/(1.2*1005*('01-Eingaben'!$B$51-'01-Eingaben'!$B$50))*3600)</f>
        <v>19.910360199005</v>
      </c>
      <c r="C27" s="3" t="s">
        <v>630</v>
      </c>
      <c r="D27" s="5" t="s">
        <v>633</v>
      </c>
    </row>
    <row r="28" customFormat="false" ht="15" hidden="false" customHeight="true" outlineLevel="0" collapsed="false">
      <c r="A28" s="3" t="s">
        <v>634</v>
      </c>
      <c r="B28" s="16" t="n">
        <f aca="false">IF('03-Modul'!$B$48=0,0,'06-Klima'!$B$27/'03-Modul'!$B$48)</f>
        <v>383.466151567984</v>
      </c>
      <c r="C28" s="3" t="s">
        <v>635</v>
      </c>
      <c r="D28" s="5" t="s">
        <v>636</v>
      </c>
    </row>
    <row r="29" customFormat="false" ht="15" hidden="false" customHeight="true" outlineLevel="0" collapsed="false">
      <c r="A29" s="3" t="s">
        <v>637</v>
      </c>
      <c r="B29" s="26" t="str">
        <f aca="false">IF('06-Klima'!$B$28&lt;10,"gering — Feuchte im Modul gut haltbar",IF('06-Klima'!$B$28&lt;100,"mittel — Feuchte folgt teilweise der Raumluft","hoch — Feuchte praktisch gleich Raumluft"))</f>
        <v>hoch — Feuchte praktisch gleich Raumluft</v>
      </c>
      <c r="C29" s="3"/>
      <c r="D29" s="5" t="s">
        <v>638</v>
      </c>
    </row>
    <row r="30" customFormat="false" ht="15" hidden="false" customHeight="true" outlineLevel="0" collapsed="false">
      <c r="A30" s="3" t="s">
        <v>639</v>
      </c>
      <c r="B30" s="17" t="n">
        <f aca="false">MAX(0,'06-Klima'!$B$20*('01-Eingaben'!$B$51-'01-Eingaben'!$B$50)-'06-Klima'!$B$10)</f>
        <v>0</v>
      </c>
      <c r="C30" s="3" t="s">
        <v>167</v>
      </c>
      <c r="D30" s="5" t="s">
        <v>640</v>
      </c>
    </row>
    <row r="31" customFormat="false" ht="15" hidden="false" customHeight="true" outlineLevel="0" collapsed="false">
      <c r="A31" s="3" t="s">
        <v>641</v>
      </c>
      <c r="B31" s="26" t="str">
        <f aca="false">IF('06-Klima'!$B$30&lt;='01-Eingaben'!$B$54,"ok","Heizleistung erhoehen oder Daemmung verstaerken")</f>
        <v>ok</v>
      </c>
      <c r="C31" s="3"/>
      <c r="D31" s="5"/>
    </row>
    <row r="32" customFormat="false" ht="15" hidden="false" customHeight="true" outlineLevel="0" collapsed="false">
      <c r="A32" s="4" t="s">
        <v>642</v>
      </c>
      <c r="B32" s="4"/>
      <c r="C32" s="4"/>
      <c r="D32" s="4"/>
    </row>
    <row r="33" customFormat="false" ht="15" hidden="false" customHeight="true" outlineLevel="0" collapsed="false">
      <c r="A33" s="6" t="s">
        <v>77</v>
      </c>
      <c r="B33" s="6" t="s">
        <v>45</v>
      </c>
      <c r="C33" s="6" t="s">
        <v>46</v>
      </c>
      <c r="D33" s="6" t="s">
        <v>418</v>
      </c>
    </row>
    <row r="34" customFormat="false" ht="15" hidden="false" customHeight="true" outlineLevel="0" collapsed="false">
      <c r="A34" s="18" t="s">
        <v>616</v>
      </c>
      <c r="B34" s="28" t="n">
        <f aca="false">'06-Klima'!$B$19*'03-Modul'!$B$38+'06-Klima'!$B$13*'03-Modul'!$B$39</f>
        <v>3.17678933333333</v>
      </c>
      <c r="C34" s="3" t="s">
        <v>617</v>
      </c>
      <c r="D34" s="5" t="s">
        <v>643</v>
      </c>
    </row>
    <row r="35" customFormat="false" ht="15" hidden="false" customHeight="true" outlineLevel="0" collapsed="false">
      <c r="A35" s="18" t="s">
        <v>619</v>
      </c>
      <c r="B35" s="24" t="n">
        <f aca="false">'06-Klima'!$B$10/'06-Klima'!$B$34</f>
        <v>5.07745346244762</v>
      </c>
      <c r="C35" s="3" t="s">
        <v>620</v>
      </c>
      <c r="D35" s="5" t="s">
        <v>621</v>
      </c>
    </row>
    <row r="36" customFormat="false" ht="15" hidden="false" customHeight="true" outlineLevel="0" collapsed="false">
      <c r="A36" s="18" t="s">
        <v>622</v>
      </c>
      <c r="B36" s="24" t="n">
        <f aca="false">'01-Eingaben'!$B$50+'06-Klima'!$B$35</f>
        <v>25.0774534624476</v>
      </c>
      <c r="C36" s="3" t="s">
        <v>160</v>
      </c>
      <c r="D36" s="5" t="s">
        <v>623</v>
      </c>
    </row>
    <row r="37" customFormat="false" ht="15" hidden="false" customHeight="true" outlineLevel="0" collapsed="false">
      <c r="A37" s="18" t="s">
        <v>644</v>
      </c>
      <c r="B37" s="24" t="n">
        <f aca="false">IF('01-Eingaben'!$B$51&lt;='01-Eingaben'!$B$50,0,MAX(0,'06-Klima'!$B$10-'06-Klima'!$B$34*('01-Eingaben'!$B$51-'01-Eingaben'!$B$50))/(1.2*1005*('01-Eingaben'!$B$51-'01-Eingaben'!$B$50))*3600)</f>
        <v>14.5916736318408</v>
      </c>
      <c r="C37" s="3" t="s">
        <v>630</v>
      </c>
      <c r="D37" s="5" t="s">
        <v>645</v>
      </c>
    </row>
    <row r="38" customFormat="false" ht="15" hidden="false" customHeight="true" outlineLevel="0" collapsed="false">
      <c r="A38" s="4" t="s">
        <v>646</v>
      </c>
      <c r="B38" s="4"/>
      <c r="C38" s="4"/>
      <c r="D38" s="4"/>
    </row>
    <row r="39" customFormat="false" ht="15" hidden="false" customHeight="true" outlineLevel="0" collapsed="false">
      <c r="A39" s="6" t="s">
        <v>77</v>
      </c>
      <c r="B39" s="6" t="s">
        <v>45</v>
      </c>
      <c r="C39" s="6" t="s">
        <v>46</v>
      </c>
      <c r="D39" s="6" t="s">
        <v>418</v>
      </c>
    </row>
    <row r="40" customFormat="false" ht="15" hidden="false" customHeight="true" outlineLevel="0" collapsed="false">
      <c r="A40" s="18" t="s">
        <v>647</v>
      </c>
      <c r="B40" s="30" t="n">
        <f aca="false">'06-Klima'!$B$13*'03-Modul'!$B$36*2/'06-Klima'!$B$14</f>
        <v>0.361389772449229</v>
      </c>
      <c r="C40" s="3" t="s">
        <v>89</v>
      </c>
      <c r="D40" s="5" t="s">
        <v>648</v>
      </c>
    </row>
    <row r="41" customFormat="false" ht="15" hidden="false" customHeight="true" outlineLevel="0" collapsed="false">
      <c r="A41" s="18" t="s">
        <v>649</v>
      </c>
      <c r="B41" s="30" t="n">
        <f aca="false">'06-Klima'!$B$19*'03-Modul'!$B$36*2/'06-Klima'!$B$20</f>
        <v>0.361389772449229</v>
      </c>
      <c r="C41" s="3" t="s">
        <v>89</v>
      </c>
      <c r="D41" s="5" t="s">
        <v>633</v>
      </c>
    </row>
    <row r="42" customFormat="false" ht="15" hidden="false" customHeight="true" outlineLevel="0" collapsed="false">
      <c r="A42" s="3" t="s">
        <v>650</v>
      </c>
      <c r="B42" s="17" t="n">
        <f aca="false">'06-Klima'!$B$40*10</f>
        <v>3.61389772449229</v>
      </c>
      <c r="C42" s="3" t="s">
        <v>620</v>
      </c>
      <c r="D42" s="5" t="s">
        <v>651</v>
      </c>
    </row>
    <row r="43" customFormat="false" ht="15" hidden="false" customHeight="true" outlineLevel="0" collapsed="false">
      <c r="A43" s="3" t="s">
        <v>652</v>
      </c>
      <c r="B43" s="17" t="n">
        <f aca="false">'06-Klima'!$B$41*10</f>
        <v>3.61389772449229</v>
      </c>
      <c r="C43" s="3" t="s">
        <v>620</v>
      </c>
      <c r="D43" s="5" t="s">
        <v>651</v>
      </c>
    </row>
    <row r="44" customFormat="false" ht="15" hidden="false" customHeight="true" outlineLevel="0" collapsed="false">
      <c r="A44" s="18" t="s">
        <v>653</v>
      </c>
      <c r="B44" s="30" t="n">
        <f aca="false">'06-Klima'!$B$19*'03-Modul'!$B$38/'06-Klima'!$B$34</f>
        <v>0.158697754378425</v>
      </c>
      <c r="C44" s="3" t="s">
        <v>89</v>
      </c>
      <c r="D44" s="5" t="s">
        <v>654</v>
      </c>
    </row>
    <row r="45" customFormat="false" ht="15" hidden="false" customHeight="true" outlineLevel="0" collapsed="false">
      <c r="A45" s="18" t="s">
        <v>655</v>
      </c>
      <c r="B45" s="24" t="n">
        <f aca="false">'06-Klima'!$B$44*10</f>
        <v>1.58697754378425</v>
      </c>
      <c r="C45" s="3" t="s">
        <v>620</v>
      </c>
      <c r="D45" s="5" t="s">
        <v>651</v>
      </c>
    </row>
    <row r="46" customFormat="false" ht="15" hidden="false" customHeight="true" outlineLevel="0" collapsed="false">
      <c r="A46" s="3" t="s">
        <v>656</v>
      </c>
      <c r="B46" s="26" t="str">
        <f aca="false">"Bei gleichmaessiger Daemmung kuerzt sich der U-Wert heraus — der Kopplungsanteil ist rein geometrisch"</f>
        <v>Bei gleichmaessiger Daemmung kuerzt sich der U-Wert heraus — der Kopplungsanteil ist rein geometrisch</v>
      </c>
      <c r="C46" s="3"/>
      <c r="D46" s="5" t="s">
        <v>657</v>
      </c>
    </row>
    <row r="47" customFormat="false" ht="15" hidden="false" customHeight="true" outlineLevel="0" collapsed="false">
      <c r="A47" s="3" t="s">
        <v>658</v>
      </c>
      <c r="B47" s="26" t="str">
        <f aca="false">IF('06-Klima'!$B$44&lt;'06-Klima'!$B$40*0.8,"Stufe 2b — nur Boden und Decke daemmen","auch Teildaemmung bringt wenig, Modulgeometrie pruefen")</f>
        <v>Stufe 2b — nur Boden und Decke daemmen</v>
      </c>
      <c r="C47" s="3"/>
      <c r="D4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659</v>
      </c>
    </row>
    <row r="3" customFormat="false" ht="15" hidden="false" customHeight="true" outlineLevel="0" collapsed="false">
      <c r="A3" s="4" t="s">
        <v>577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418</v>
      </c>
    </row>
    <row r="5" customFormat="false" ht="15" hidden="false" customHeight="true" outlineLevel="0" collapsed="false">
      <c r="A5" s="3" t="s">
        <v>660</v>
      </c>
      <c r="B5" s="23" t="n">
        <f aca="false">'01-Eingaben'!$B$57*'03-Modul'!$B$21</f>
        <v>0.114048</v>
      </c>
      <c r="C5" s="3" t="s">
        <v>661</v>
      </c>
      <c r="D5" s="5" t="s">
        <v>662</v>
      </c>
    </row>
    <row r="6" customFormat="false" ht="15" hidden="false" customHeight="true" outlineLevel="0" collapsed="false">
      <c r="A6" s="18" t="s">
        <v>663</v>
      </c>
      <c r="B6" s="22" t="n">
        <f aca="false">'07-Wasser'!$B$5*'01-Eingaben'!$B$96</f>
        <v>0.114048</v>
      </c>
      <c r="C6" s="3" t="s">
        <v>661</v>
      </c>
      <c r="D6" s="5" t="s">
        <v>533</v>
      </c>
    </row>
    <row r="7" customFormat="false" ht="15" hidden="false" customHeight="true" outlineLevel="0" collapsed="false">
      <c r="A7" s="3" t="s">
        <v>664</v>
      </c>
      <c r="B7" s="17" t="n">
        <f aca="false">'07-Wasser'!$B$5*1000/'01-Eingaben'!$B$58</f>
        <v>28.512</v>
      </c>
      <c r="C7" s="3" t="s">
        <v>665</v>
      </c>
      <c r="D7" s="5" t="s">
        <v>666</v>
      </c>
    </row>
    <row r="8" customFormat="false" ht="15" hidden="false" customHeight="true" outlineLevel="0" collapsed="false">
      <c r="A8" s="18" t="s">
        <v>667</v>
      </c>
      <c r="B8" s="24" t="n">
        <f aca="false">'07-Wasser'!$B$7/('01-Eingaben'!$B$59*1000/3600)</f>
        <v>5.13216</v>
      </c>
      <c r="C8" s="3" t="s">
        <v>668</v>
      </c>
      <c r="D8" s="5" t="s">
        <v>669</v>
      </c>
    </row>
    <row r="9" customFormat="false" ht="15" hidden="false" customHeight="true" outlineLevel="0" collapsed="false">
      <c r="A9" s="3" t="s">
        <v>670</v>
      </c>
      <c r="B9" s="26" t="str">
        <f aca="false">IF('07-Wasser'!$B$8&lt;2,"sehr kurz — Ventiltraegheit dominiert, Zyklen reduzieren",IF('07-Wasser'!$B$8&gt;30,"lang — Staunaessegefahr","praktikabel"))</f>
        <v>praktikabel</v>
      </c>
      <c r="C9" s="3"/>
      <c r="D9" s="5" t="s">
        <v>671</v>
      </c>
    </row>
    <row r="10" customFormat="false" ht="15" hidden="false" customHeight="true" outlineLevel="0" collapsed="false">
      <c r="A10" s="4" t="s">
        <v>672</v>
      </c>
      <c r="B10" s="4"/>
      <c r="C10" s="4"/>
      <c r="D10" s="4"/>
    </row>
    <row r="11" customFormat="false" ht="15" hidden="false" customHeight="true" outlineLevel="0" collapsed="false">
      <c r="A11" s="6" t="s">
        <v>77</v>
      </c>
      <c r="B11" s="6" t="s">
        <v>45</v>
      </c>
      <c r="C11" s="6" t="s">
        <v>46</v>
      </c>
      <c r="D11" s="6" t="s">
        <v>418</v>
      </c>
    </row>
    <row r="12" customFormat="false" ht="15" hidden="false" customHeight="true" outlineLevel="0" collapsed="false">
      <c r="A12" s="3" t="s">
        <v>673</v>
      </c>
      <c r="B12" s="16" t="n">
        <f aca="false">'01-Eingaben'!$B$96</f>
        <v>1</v>
      </c>
      <c r="C12" s="3" t="s">
        <v>84</v>
      </c>
      <c r="D12" s="5" t="s">
        <v>674</v>
      </c>
    </row>
    <row r="13" customFormat="false" ht="15" hidden="false" customHeight="true" outlineLevel="0" collapsed="false">
      <c r="A13" s="18" t="s">
        <v>675</v>
      </c>
      <c r="B13" s="28" t="n">
        <f aca="false">'07-Wasser'!$B$6*'01-Eingaben'!$B$60*'01-Eingaben'!$B$95</f>
        <v>0.798336</v>
      </c>
      <c r="C13" s="3" t="s">
        <v>319</v>
      </c>
      <c r="D13" s="5" t="s">
        <v>676</v>
      </c>
    </row>
    <row r="14" customFormat="false" ht="15" hidden="false" customHeight="true" outlineLevel="0" collapsed="false">
      <c r="A14" s="3" t="s">
        <v>677</v>
      </c>
      <c r="B14" s="20" t="n">
        <f aca="false">IF('01-Eingaben'!$B$165=2,'01-Eingaben'!$B$166,'01-Eingaben'!$B$32*'01-Eingaben'!$B$91*'01-Eingaben'!$B$33/1000000*0.6)</f>
        <v>20</v>
      </c>
      <c r="C14" s="3" t="s">
        <v>319</v>
      </c>
      <c r="D14" s="5" t="s">
        <v>678</v>
      </c>
    </row>
    <row r="15" customFormat="false" ht="15" hidden="false" customHeight="true" outlineLevel="0" collapsed="false">
      <c r="A15" s="3" t="s">
        <v>679</v>
      </c>
      <c r="B15" s="26" t="str">
        <f aca="false">IF('07-Wasser'!$B$14&gt;='07-Wasser'!$B$13,"ok","zu klein: Nasszone hoeher oder Autonomie senken")</f>
        <v>ok</v>
      </c>
      <c r="C15" s="3"/>
      <c r="D15" s="5" t="s">
        <v>680</v>
      </c>
    </row>
    <row r="16" customFormat="false" ht="15" hidden="false" customHeight="true" outlineLevel="0" collapsed="false">
      <c r="A16" s="3" t="s">
        <v>681</v>
      </c>
      <c r="B16" s="17" t="n">
        <f aca="false">IF('07-Wasser'!$B$6=0,0,'07-Wasser'!$B$14/'07-Wasser'!$B$6)</f>
        <v>175.364758698092</v>
      </c>
      <c r="C16" s="3" t="s">
        <v>182</v>
      </c>
      <c r="D16" s="5" t="s">
        <v>682</v>
      </c>
    </row>
    <row r="17" customFormat="false" ht="15" hidden="false" customHeight="true" outlineLevel="0" collapsed="false">
      <c r="A17" s="4" t="s">
        <v>681</v>
      </c>
      <c r="B17" s="4" t="n">
        <f aca="false">'07-Wasser'!$B$14/('07-Wasser'!$B$6*'01-Eingaben'!$B$95)</f>
        <v>175.364758698092</v>
      </c>
      <c r="C17" s="4"/>
      <c r="D17" s="4" t="s">
        <v>683</v>
      </c>
    </row>
    <row r="18" customFormat="false" ht="15" hidden="false" customHeight="true" outlineLevel="0" collapsed="false">
      <c r="A18" s="6" t="s">
        <v>77</v>
      </c>
      <c r="B18" s="6" t="s">
        <v>45</v>
      </c>
      <c r="C18" s="6" t="s">
        <v>46</v>
      </c>
      <c r="D18" s="6" t="s">
        <v>418</v>
      </c>
    </row>
    <row r="19" customFormat="false" ht="15" hidden="false" customHeight="true" outlineLevel="0" collapsed="false">
      <c r="A19" s="18" t="s">
        <v>684</v>
      </c>
      <c r="B19" s="28" t="n">
        <f aca="false">'04-Rack'!$B$18*10000*'01-Eingaben'!$B$19/10/1000</f>
        <v>2.8512</v>
      </c>
      <c r="C19" s="3" t="s">
        <v>319</v>
      </c>
      <c r="D19" s="5" t="s">
        <v>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686</v>
      </c>
    </row>
    <row r="3" customFormat="false" ht="15" hidden="false" customHeight="true" outlineLevel="0" collapsed="false">
      <c r="A3" s="4" t="s">
        <v>687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418</v>
      </c>
    </row>
    <row r="5" customFormat="false" ht="15" hidden="false" customHeight="true" outlineLevel="0" collapsed="false">
      <c r="A5" s="3" t="s">
        <v>688</v>
      </c>
      <c r="B5" s="17" t="n">
        <f aca="false">'05-Licht'!$B$12+'01-Eingaben'!$B$53+'01-Eingaben'!$B$66</f>
        <v>17.1</v>
      </c>
      <c r="C5" s="3" t="s">
        <v>167</v>
      </c>
      <c r="D5" s="5" t="s">
        <v>689</v>
      </c>
    </row>
    <row r="6" customFormat="false" ht="15" hidden="false" customHeight="true" outlineLevel="0" collapsed="false">
      <c r="A6" s="3" t="s">
        <v>690</v>
      </c>
      <c r="B6" s="17" t="n">
        <f aca="false">'08-Elektrik'!$B$5+'01-Eingaben'!$B$67</f>
        <v>21.1</v>
      </c>
      <c r="C6" s="3" t="s">
        <v>167</v>
      </c>
      <c r="D6" s="5" t="s">
        <v>691</v>
      </c>
    </row>
    <row r="7" customFormat="false" ht="15" hidden="false" customHeight="true" outlineLevel="0" collapsed="false">
      <c r="A7" s="4" t="s">
        <v>692</v>
      </c>
      <c r="B7" s="4"/>
      <c r="C7" s="4"/>
      <c r="D7" s="4"/>
    </row>
    <row r="8" customFormat="false" ht="15" hidden="false" customHeight="true" outlineLevel="0" collapsed="false">
      <c r="A8" s="6" t="s">
        <v>77</v>
      </c>
      <c r="B8" s="6" t="s">
        <v>45</v>
      </c>
      <c r="C8" s="6" t="s">
        <v>46</v>
      </c>
      <c r="D8" s="6" t="s">
        <v>418</v>
      </c>
    </row>
    <row r="9" customFormat="false" ht="15" hidden="false" customHeight="true" outlineLevel="0" collapsed="false">
      <c r="A9" s="18" t="s">
        <v>693</v>
      </c>
      <c r="B9" s="24" t="n">
        <f aca="false">'08-Elektrik'!$B$5*'01-Eingaben'!$B$96+'01-Eingaben'!$B$65</f>
        <v>18.1</v>
      </c>
      <c r="C9" s="3" t="s">
        <v>167</v>
      </c>
      <c r="D9" s="5" t="s">
        <v>694</v>
      </c>
    </row>
    <row r="10" customFormat="false" ht="15" hidden="false" customHeight="true" outlineLevel="0" collapsed="false">
      <c r="A10" s="18" t="s">
        <v>695</v>
      </c>
      <c r="B10" s="24" t="n">
        <f aca="false">'08-Elektrik'!$B$9+'01-Eingaben'!$B$68+'01-Eingaben'!$B$67</f>
        <v>30.1</v>
      </c>
      <c r="C10" s="3" t="s">
        <v>167</v>
      </c>
      <c r="D10" s="5" t="s">
        <v>696</v>
      </c>
    </row>
    <row r="11" customFormat="false" ht="15" hidden="false" customHeight="true" outlineLevel="0" collapsed="false">
      <c r="A11" s="3" t="s">
        <v>697</v>
      </c>
      <c r="B11" s="26" t="str">
        <f aca="false">"Module nacheinander bewaessern, nicht gleichzeitig — haelt die Spitzenlast konstant"</f>
        <v>Module nacheinander bewaessern, nicht gleichzeitig — haelt die Spitzenlast konstant</v>
      </c>
      <c r="C11" s="3"/>
      <c r="D11" s="5" t="s">
        <v>698</v>
      </c>
    </row>
    <row r="12" customFormat="false" ht="15" hidden="false" customHeight="true" outlineLevel="0" collapsed="false">
      <c r="A12" s="3" t="s">
        <v>699</v>
      </c>
      <c r="B12" s="20" t="n">
        <f aca="false">('05-Licht'!$B$13+'01-Eingaben'!$B$53*'01-Eingaben'!$B$96+'01-Eingaben'!$B$68+'01-Eingaben'!$B$67)/'01-Eingaben'!$B$63</f>
        <v>1.20416666666667</v>
      </c>
      <c r="C12" s="3" t="s">
        <v>700</v>
      </c>
      <c r="D12" s="5" t="s">
        <v>701</v>
      </c>
    </row>
    <row r="13" customFormat="false" ht="15" hidden="false" customHeight="true" outlineLevel="0" collapsed="false">
      <c r="A13" s="18" t="s">
        <v>702</v>
      </c>
      <c r="B13" s="24" t="n">
        <f aca="false">ROUNDUP('08-Elektrik'!$B$12*(1+'01-Eingaben'!$B$69)*10,0)/10</f>
        <v>1.6</v>
      </c>
      <c r="C13" s="3" t="s">
        <v>700</v>
      </c>
      <c r="D13" s="5" t="s">
        <v>703</v>
      </c>
    </row>
    <row r="14" customFormat="false" ht="15" hidden="false" customHeight="true" outlineLevel="0" collapsed="false">
      <c r="A14" s="18" t="s">
        <v>704</v>
      </c>
      <c r="B14" s="24" t="n">
        <f aca="false">ROUNDUP(('01-Eingaben'!$B$65+'01-Eingaben'!$B$66*'01-Eingaben'!$B$96)/'01-Eingaben'!$B$64*(1+'01-Eingaben'!$B$69)*10,0)/10</f>
        <v>0.4</v>
      </c>
      <c r="C14" s="3" t="s">
        <v>700</v>
      </c>
      <c r="D14" s="5" t="s">
        <v>705</v>
      </c>
    </row>
    <row r="15" customFormat="false" ht="15" hidden="false" customHeight="true" outlineLevel="0" collapsed="false">
      <c r="A15" s="18" t="s">
        <v>706</v>
      </c>
      <c r="B15" s="24" t="n">
        <f aca="false">'05-Licht'!$B$13*'01-Eingaben'!$B$45+('01-Eingaben'!$B$53+'01-Eingaben'!$B$66)*'01-Eingaben'!$B$96*24+'01-Eingaben'!$B$65*24+('01-Eingaben'!$B$68+'01-Eingaben'!$B$67)*'01-Eingaben'!$B$96*'01-Eingaben'!$B$58*'07-Wasser'!$B$8/3600</f>
        <v>311.2684288</v>
      </c>
      <c r="C15" s="3" t="s">
        <v>707</v>
      </c>
      <c r="D15" s="5" t="s">
        <v>708</v>
      </c>
    </row>
    <row r="16" customFormat="false" ht="15" hidden="false" customHeight="true" outlineLevel="0" collapsed="false">
      <c r="A16" s="4" t="s">
        <v>709</v>
      </c>
      <c r="B16" s="4"/>
      <c r="C16" s="4"/>
      <c r="D16" s="4"/>
    </row>
    <row r="17" customFormat="false" ht="15" hidden="false" customHeight="true" outlineLevel="0" collapsed="false">
      <c r="A17" s="6" t="s">
        <v>77</v>
      </c>
      <c r="B17" s="6" t="s">
        <v>45</v>
      </c>
      <c r="C17" s="6" t="s">
        <v>46</v>
      </c>
      <c r="D17" s="6" t="s">
        <v>418</v>
      </c>
    </row>
    <row r="18" customFormat="false" ht="15" hidden="false" customHeight="true" outlineLevel="0" collapsed="false">
      <c r="A18" s="18" t="s">
        <v>710</v>
      </c>
      <c r="B18" s="21" t="n">
        <f aca="false">2*'01-Eingaben'!$B$96+1</f>
        <v>3</v>
      </c>
      <c r="C18" s="3" t="s">
        <v>84</v>
      </c>
      <c r="D18" s="5" t="s">
        <v>711</v>
      </c>
    </row>
    <row r="19" customFormat="false" ht="15" hidden="false" customHeight="true" outlineLevel="0" collapsed="false">
      <c r="A19" s="3" t="s">
        <v>712</v>
      </c>
      <c r="B19" s="16" t="n">
        <f aca="false">'01-Eingaben'!$B$96</f>
        <v>1</v>
      </c>
      <c r="C19" s="3" t="s">
        <v>84</v>
      </c>
      <c r="D19" s="5" t="s">
        <v>713</v>
      </c>
    </row>
    <row r="20" customFormat="false" ht="15" hidden="false" customHeight="true" outlineLevel="0" collapsed="false">
      <c r="A20" s="3" t="s">
        <v>714</v>
      </c>
      <c r="B20" s="26" t="str">
        <f aca="false">IF(2*'01-Eingaben'!$B$96+1&lt;=8,"ja — GPIO reichen noch","nein — Portexpander noetig")</f>
        <v>ja — GPIO reichen noch</v>
      </c>
      <c r="C20" s="3"/>
      <c r="D20" s="5" t="s">
        <v>715</v>
      </c>
    </row>
    <row r="21" customFormat="false" ht="15" hidden="false" customHeight="true" outlineLevel="0" collapsed="false">
      <c r="A21" s="3" t="s">
        <v>716</v>
      </c>
      <c r="B21" s="26" t="str">
        <f aca="false">IF('01-Eingaben'!$B$96&lt;=2,"ja — zwei I2C-Adressen verfuegbar","nein — I2C-Multiplexer TCA9548A noetig")</f>
        <v>ja — zwei I2C-Adressen verfuegbar</v>
      </c>
      <c r="C21" s="3"/>
      <c r="D21" s="5" t="s">
        <v>717</v>
      </c>
    </row>
    <row r="22" customFormat="false" ht="15" hidden="false" customHeight="true" outlineLevel="0" collapsed="false">
      <c r="A22" s="3" t="s">
        <v>718</v>
      </c>
      <c r="B22" s="26" t="str">
        <f aca="false">IF('01-Eingaben'!$B$96&lt;=2,"Zentralsteuerung direkt am ESP32","Zentral-ESP32 mit I2C-Expandern, oder ein ESP32 je Modul am Bus")</f>
        <v>Zentralsteuerung direkt am ESP32</v>
      </c>
      <c r="C22" s="3"/>
      <c r="D22" s="5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720</v>
      </c>
    </row>
    <row r="3" customFormat="false" ht="15" hidden="false" customHeight="true" outlineLevel="0" collapsed="false">
      <c r="A3" s="4" t="s">
        <v>721</v>
      </c>
      <c r="B3" s="4"/>
      <c r="C3" s="4"/>
      <c r="D3" s="4"/>
    </row>
    <row r="4" customFormat="false" ht="15" hidden="false" customHeight="true" outlineLevel="0" collapsed="false">
      <c r="A4" s="6" t="s">
        <v>77</v>
      </c>
      <c r="B4" s="6" t="s">
        <v>45</v>
      </c>
      <c r="C4" s="6" t="s">
        <v>46</v>
      </c>
      <c r="D4" s="6" t="s">
        <v>418</v>
      </c>
    </row>
    <row r="5" customFormat="false" ht="15" hidden="false" customHeight="true" outlineLevel="0" collapsed="false">
      <c r="A5" s="3" t="s">
        <v>722</v>
      </c>
      <c r="B5" s="17" t="n">
        <f aca="false">'03-Modul'!$B$13*'01-Eingaben'!$B$73</f>
        <v>2.94624</v>
      </c>
      <c r="C5" s="3" t="s">
        <v>723</v>
      </c>
      <c r="D5" s="5" t="s">
        <v>724</v>
      </c>
    </row>
    <row r="6" customFormat="false" ht="15" hidden="false" customHeight="true" outlineLevel="0" collapsed="false">
      <c r="A6" s="18" t="s">
        <v>725</v>
      </c>
      <c r="B6" s="24" t="n">
        <f aca="false">'03-Modul'!$B$13*'01-Eingaben'!$B$72</f>
        <v>41.8176</v>
      </c>
      <c r="C6" s="3" t="s">
        <v>723</v>
      </c>
      <c r="D6" s="5" t="s">
        <v>726</v>
      </c>
    </row>
    <row r="7" customFormat="false" ht="15" hidden="false" customHeight="true" outlineLevel="0" collapsed="false">
      <c r="A7" s="3" t="s">
        <v>727</v>
      </c>
      <c r="B7" s="17" t="n">
        <f aca="false">'09-Ertrag'!$B$6*'01-Eingaben'!$B$7</f>
        <v>250.9056</v>
      </c>
      <c r="C7" s="3" t="s">
        <v>723</v>
      </c>
      <c r="D7" s="5" t="s">
        <v>728</v>
      </c>
    </row>
    <row r="8" customFormat="false" ht="15" hidden="false" customHeight="true" outlineLevel="0" collapsed="false">
      <c r="A8" s="4" t="s">
        <v>692</v>
      </c>
      <c r="B8" s="4"/>
      <c r="C8" s="4"/>
      <c r="D8" s="4"/>
    </row>
    <row r="9" customFormat="false" ht="15" hidden="false" customHeight="true" outlineLevel="0" collapsed="false">
      <c r="A9" s="6" t="s">
        <v>77</v>
      </c>
      <c r="B9" s="6" t="s">
        <v>45</v>
      </c>
      <c r="C9" s="6" t="s">
        <v>46</v>
      </c>
      <c r="D9" s="6" t="s">
        <v>418</v>
      </c>
    </row>
    <row r="10" customFormat="false" ht="15" hidden="false" customHeight="true" outlineLevel="0" collapsed="false">
      <c r="A10" s="3" t="s">
        <v>729</v>
      </c>
      <c r="B10" s="17" t="n">
        <f aca="false">'09-Ertrag'!$B$5*'04-Rack'!$B$20</f>
        <v>17.67744</v>
      </c>
      <c r="C10" s="3" t="s">
        <v>723</v>
      </c>
      <c r="D10" s="5" t="s">
        <v>730</v>
      </c>
    </row>
    <row r="11" customFormat="false" ht="15" hidden="false" customHeight="true" outlineLevel="0" collapsed="false">
      <c r="A11" s="18" t="s">
        <v>731</v>
      </c>
      <c r="B11" s="24" t="n">
        <f aca="false">'09-Ertrag'!$B$6*'04-Rack'!$B$20</f>
        <v>250.9056</v>
      </c>
      <c r="C11" s="3" t="s">
        <v>723</v>
      </c>
      <c r="D11" s="5" t="s">
        <v>730</v>
      </c>
    </row>
    <row r="12" customFormat="false" ht="15" hidden="false" customHeight="true" outlineLevel="0" collapsed="false">
      <c r="A12" s="3" t="s">
        <v>732</v>
      </c>
      <c r="B12" s="16" t="n">
        <f aca="false">'09-Ertrag'!$B$11/10</f>
        <v>25.09056</v>
      </c>
      <c r="C12" s="3" t="s">
        <v>84</v>
      </c>
      <c r="D12" s="5" t="s">
        <v>733</v>
      </c>
    </row>
    <row r="13" customFormat="false" ht="15" hidden="false" customHeight="true" outlineLevel="0" collapsed="false">
      <c r="A13" s="3" t="s">
        <v>734</v>
      </c>
      <c r="B13" s="17" t="n">
        <f aca="false">365/('01-Eingaben'!$B$74+'01-Eingaben'!$B$75)</f>
        <v>21.4705882352941</v>
      </c>
      <c r="C13" s="3" t="s">
        <v>735</v>
      </c>
      <c r="D13" s="5" t="s">
        <v>736</v>
      </c>
    </row>
    <row r="14" customFormat="false" ht="15" hidden="false" customHeight="true" outlineLevel="0" collapsed="false">
      <c r="A14" s="18" t="s">
        <v>737</v>
      </c>
      <c r="B14" s="28" t="n">
        <f aca="false">'09-Ertrag'!$B$11*'09-Ertrag'!$B$13/1000</f>
        <v>5.38709082352941</v>
      </c>
      <c r="C14" s="3" t="s">
        <v>257</v>
      </c>
      <c r="D14" s="5" t="s">
        <v>738</v>
      </c>
    </row>
    <row r="15" customFormat="false" ht="15" hidden="false" customHeight="true" outlineLevel="0" collapsed="false">
      <c r="A15" s="18" t="s">
        <v>739</v>
      </c>
      <c r="B15" s="24" t="n">
        <f aca="false">'09-Ertrag'!$B$14/'04-Rack'!$B$15</f>
        <v>19.055857175555</v>
      </c>
      <c r="C15" s="3" t="s">
        <v>740</v>
      </c>
      <c r="D15" s="5" t="s">
        <v>741</v>
      </c>
    </row>
    <row r="16" customFormat="false" ht="15" hidden="false" customHeight="true" outlineLevel="0" collapsed="false">
      <c r="A16" s="3" t="s">
        <v>742</v>
      </c>
      <c r="B16" s="16" t="n">
        <f aca="false">'04-Rack'!$B$20</f>
        <v>6</v>
      </c>
      <c r="C16" s="3" t="s">
        <v>84</v>
      </c>
      <c r="D16" s="5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744</v>
      </c>
    </row>
    <row r="3" customFormat="false" ht="15" hidden="false" customHeight="true" outlineLevel="0" collapsed="false">
      <c r="A3" s="4" t="s">
        <v>745</v>
      </c>
      <c r="B3" s="4"/>
      <c r="C3" s="4"/>
      <c r="D3" s="4"/>
    </row>
    <row r="4" customFormat="false" ht="15" hidden="false" customHeight="true" outlineLevel="0" collapsed="false">
      <c r="A4" s="6" t="s">
        <v>746</v>
      </c>
      <c r="B4" s="6" t="s">
        <v>747</v>
      </c>
      <c r="C4" s="6" t="s">
        <v>46</v>
      </c>
      <c r="D4" s="6" t="s">
        <v>748</v>
      </c>
    </row>
    <row r="5" customFormat="false" ht="15" hidden="false" customHeight="true" outlineLevel="0" collapsed="false">
      <c r="A5" s="3" t="s">
        <v>749</v>
      </c>
      <c r="B5" s="31" t="n">
        <f aca="false">'03-Modul'!$B$51*'13-Zuschnitt'!$B$47</f>
        <v>153.252483332436</v>
      </c>
      <c r="C5" s="3" t="s">
        <v>221</v>
      </c>
      <c r="D5" s="5" t="s">
        <v>750</v>
      </c>
    </row>
    <row r="6" customFormat="false" ht="15" hidden="false" customHeight="true" outlineLevel="0" collapsed="false">
      <c r="A6" s="3" t="s">
        <v>751</v>
      </c>
      <c r="B6" s="31" t="n">
        <f aca="false">'01-Eingaben'!$B$7*'01-Eingaben'!$B$81</f>
        <v>54</v>
      </c>
      <c r="C6" s="3" t="s">
        <v>221</v>
      </c>
      <c r="D6" s="5" t="s">
        <v>752</v>
      </c>
    </row>
    <row r="7" customFormat="false" ht="15" hidden="false" customHeight="true" outlineLevel="0" collapsed="false">
      <c r="A7" s="3" t="s">
        <v>223</v>
      </c>
      <c r="B7" s="31" t="n">
        <f aca="false">'05-Licht'!$B$9*'01-Eingaben'!$B$82</f>
        <v>27.5</v>
      </c>
      <c r="C7" s="3" t="s">
        <v>221</v>
      </c>
      <c r="D7" s="5" t="s">
        <v>753</v>
      </c>
    </row>
    <row r="8" customFormat="false" ht="15" hidden="false" customHeight="true" outlineLevel="0" collapsed="false">
      <c r="A8" s="3" t="s">
        <v>754</v>
      </c>
      <c r="B8" s="31" t="n">
        <f aca="false">'01-Eingaben'!$B$83</f>
        <v>28</v>
      </c>
      <c r="C8" s="3" t="s">
        <v>221</v>
      </c>
      <c r="D8" s="5" t="s">
        <v>755</v>
      </c>
    </row>
    <row r="9" customFormat="false" ht="15" hidden="false" customHeight="true" outlineLevel="0" collapsed="false">
      <c r="A9" s="18" t="s">
        <v>756</v>
      </c>
      <c r="B9" s="32" t="n">
        <f aca="false">'10-Kosten'!$B$5+'10-Kosten'!$B$6+'10-Kosten'!$B$7+'10-Kosten'!$B$8</f>
        <v>262.752483332436</v>
      </c>
      <c r="C9" s="3" t="s">
        <v>221</v>
      </c>
      <c r="D9" s="5" t="s">
        <v>757</v>
      </c>
    </row>
    <row r="10" customFormat="false" ht="15" hidden="false" customHeight="true" outlineLevel="0" collapsed="false">
      <c r="A10" s="4" t="s">
        <v>758</v>
      </c>
      <c r="B10" s="4"/>
      <c r="C10" s="4"/>
      <c r="D10" s="4"/>
    </row>
    <row r="11" customFormat="false" ht="15" hidden="false" customHeight="true" outlineLevel="0" collapsed="false">
      <c r="A11" s="6" t="s">
        <v>746</v>
      </c>
      <c r="B11" s="6" t="s">
        <v>747</v>
      </c>
      <c r="C11" s="6" t="s">
        <v>46</v>
      </c>
      <c r="D11" s="6" t="s">
        <v>748</v>
      </c>
    </row>
    <row r="12" customFormat="false" ht="15" hidden="false" customHeight="true" outlineLevel="0" collapsed="false">
      <c r="A12" s="3" t="s">
        <v>759</v>
      </c>
      <c r="B12" s="31" t="n">
        <f aca="false">'03-Modul'!$B$37*(1+'01-Eingaben'!$B$41)*'13-Zuschnitt'!$B$47</f>
        <v>86.648544</v>
      </c>
      <c r="C12" s="3" t="s">
        <v>221</v>
      </c>
      <c r="D12" s="5" t="s">
        <v>760</v>
      </c>
    </row>
    <row r="13" customFormat="false" ht="15" hidden="false" customHeight="true" outlineLevel="0" collapsed="false">
      <c r="A13" s="3" t="s">
        <v>217</v>
      </c>
      <c r="B13" s="31" t="n">
        <f aca="false">'03-Modul'!$B$53*'01-Eingaben'!$B$80</f>
        <v>2.2601472</v>
      </c>
      <c r="C13" s="3" t="s">
        <v>221</v>
      </c>
      <c r="D13" s="5" t="s">
        <v>761</v>
      </c>
    </row>
    <row r="14" customFormat="false" ht="15" hidden="false" customHeight="true" outlineLevel="0" collapsed="false">
      <c r="A14" s="18" t="s">
        <v>762</v>
      </c>
      <c r="B14" s="32" t="n">
        <f aca="false">'10-Kosten'!$B$12+'10-Kosten'!$B$13</f>
        <v>88.9086912</v>
      </c>
      <c r="C14" s="3" t="s">
        <v>221</v>
      </c>
      <c r="D14" s="5" t="s">
        <v>763</v>
      </c>
    </row>
    <row r="15" customFormat="false" ht="15" hidden="false" customHeight="true" outlineLevel="0" collapsed="false">
      <c r="A15" s="3" t="s">
        <v>764</v>
      </c>
      <c r="B15" s="31" t="n">
        <f aca="false">'03-Modul'!$B$40*(1+'01-Eingaben'!$B$41)*'13-Zuschnitt'!$B$47</f>
        <v>31.611384</v>
      </c>
      <c r="C15" s="3" t="s">
        <v>221</v>
      </c>
      <c r="D15" s="5" t="s">
        <v>765</v>
      </c>
    </row>
    <row r="16" customFormat="false" ht="15" hidden="false" customHeight="true" outlineLevel="0" collapsed="false">
      <c r="A16" s="3" t="s">
        <v>766</v>
      </c>
      <c r="B16" s="31" t="n">
        <f aca="false">'03-Modul'!$B$55*'01-Eingaben'!$B$80</f>
        <v>0.8202432</v>
      </c>
      <c r="C16" s="3" t="s">
        <v>221</v>
      </c>
      <c r="D16" s="5" t="s">
        <v>761</v>
      </c>
    </row>
    <row r="17" customFormat="false" ht="15" hidden="false" customHeight="true" outlineLevel="0" collapsed="false">
      <c r="A17" s="18" t="s">
        <v>767</v>
      </c>
      <c r="B17" s="32" t="n">
        <f aca="false">'10-Kosten'!$B$15+'10-Kosten'!$B$16</f>
        <v>32.4316272</v>
      </c>
      <c r="C17" s="3" t="s">
        <v>221</v>
      </c>
      <c r="D17" s="5" t="s">
        <v>768</v>
      </c>
    </row>
    <row r="18" customFormat="false" ht="15" hidden="false" customHeight="true" outlineLevel="0" collapsed="false">
      <c r="A18" s="18" t="s">
        <v>769</v>
      </c>
      <c r="B18" s="32" t="n">
        <f aca="false">'10-Kosten'!$B$9+'10-Kosten'!$B$14</f>
        <v>351.661174532436</v>
      </c>
      <c r="C18" s="3" t="s">
        <v>221</v>
      </c>
      <c r="D18" s="5" t="s">
        <v>770</v>
      </c>
    </row>
    <row r="19" customFormat="false" ht="15" hidden="false" customHeight="true" outlineLevel="0" collapsed="false">
      <c r="A19" s="18" t="s">
        <v>771</v>
      </c>
      <c r="B19" s="30" t="n">
        <f aca="false">'10-Kosten'!$B$14/'10-Kosten'!$B$9</f>
        <v>0.338374313621662</v>
      </c>
      <c r="C19" s="3" t="s">
        <v>89</v>
      </c>
      <c r="D19" s="5" t="s">
        <v>772</v>
      </c>
    </row>
    <row r="20" customFormat="false" ht="15" hidden="false" customHeight="true" outlineLevel="0" collapsed="false">
      <c r="A20" s="4" t="s">
        <v>773</v>
      </c>
      <c r="B20" s="4"/>
      <c r="C20" s="4"/>
      <c r="D20" s="4"/>
    </row>
    <row r="21" customFormat="false" ht="15" hidden="false" customHeight="true" outlineLevel="0" collapsed="false">
      <c r="A21" s="6" t="s">
        <v>746</v>
      </c>
      <c r="B21" s="6" t="s">
        <v>747</v>
      </c>
      <c r="C21" s="6" t="s">
        <v>46</v>
      </c>
      <c r="D21" s="6" t="s">
        <v>748</v>
      </c>
    </row>
    <row r="22" customFormat="false" ht="15" hidden="false" customHeight="true" outlineLevel="0" collapsed="false">
      <c r="A22" s="3" t="s">
        <v>774</v>
      </c>
      <c r="B22" s="31" t="n">
        <f aca="false">'15-Tragstruktur'!$B$56</f>
        <v>126.366372122987</v>
      </c>
      <c r="C22" s="3" t="s">
        <v>221</v>
      </c>
      <c r="D22" s="5" t="s">
        <v>775</v>
      </c>
    </row>
    <row r="23" customFormat="false" ht="15" hidden="false" customHeight="true" outlineLevel="0" collapsed="false">
      <c r="A23" s="3" t="s">
        <v>776</v>
      </c>
      <c r="B23" s="31" t="n">
        <f aca="false">'04-Rack'!$B$25*'13-Zuschnitt'!$B$47</f>
        <v>0</v>
      </c>
      <c r="C23" s="3" t="s">
        <v>221</v>
      </c>
      <c r="D23" s="5" t="s">
        <v>777</v>
      </c>
    </row>
    <row r="24" customFormat="false" ht="15" hidden="false" customHeight="true" outlineLevel="0" collapsed="false">
      <c r="A24" s="3" t="s">
        <v>778</v>
      </c>
      <c r="B24" s="31" t="n">
        <f aca="false">'01-Eingaben'!$B$84</f>
        <v>60</v>
      </c>
      <c r="C24" s="3" t="s">
        <v>221</v>
      </c>
      <c r="D24" s="5" t="s">
        <v>779</v>
      </c>
    </row>
    <row r="25" customFormat="false" ht="15" hidden="false" customHeight="true" outlineLevel="0" collapsed="false">
      <c r="A25" s="18" t="s">
        <v>780</v>
      </c>
      <c r="B25" s="32" t="n">
        <f aca="false">'10-Kosten'!$B$22+'10-Kosten'!$B$23</f>
        <v>126.366372122987</v>
      </c>
      <c r="C25" s="3" t="s">
        <v>221</v>
      </c>
      <c r="D25" s="5" t="s">
        <v>781</v>
      </c>
    </row>
    <row r="26" customFormat="false" ht="15" hidden="false" customHeight="true" outlineLevel="0" collapsed="false">
      <c r="A26" s="4" t="s">
        <v>782</v>
      </c>
      <c r="B26" s="4"/>
      <c r="C26" s="4"/>
      <c r="D26" s="4"/>
    </row>
    <row r="27" customFormat="false" ht="15" hidden="false" customHeight="true" outlineLevel="0" collapsed="false">
      <c r="A27" s="6" t="s">
        <v>746</v>
      </c>
      <c r="B27" s="6" t="s">
        <v>747</v>
      </c>
      <c r="C27" s="6" t="s">
        <v>46</v>
      </c>
      <c r="D27" s="6" t="s">
        <v>418</v>
      </c>
    </row>
    <row r="28" customFormat="false" ht="15" hidden="false" customHeight="true" outlineLevel="0" collapsed="false">
      <c r="A28" s="18" t="s">
        <v>783</v>
      </c>
      <c r="B28" s="32" t="n">
        <f aca="false">'10-Kosten'!$B$25+'10-Kosten'!$B$48+'10-Kosten'!$B$18*'01-Eingaben'!$B$23+'10-Kosten'!$B$9*('01-Eingaben'!$B$96-'01-Eingaben'!$B$23)</f>
        <v>529.848855455422</v>
      </c>
      <c r="C28" s="3" t="s">
        <v>221</v>
      </c>
      <c r="D28" s="5" t="s">
        <v>784</v>
      </c>
    </row>
    <row r="29" customFormat="false" ht="15" hidden="false" customHeight="true" outlineLevel="0" collapsed="false">
      <c r="A29" s="18" t="s">
        <v>785</v>
      </c>
      <c r="B29" s="32" t="n">
        <f aca="false">'10-Kosten'!$B$14*('01-Eingaben'!$B$96-'01-Eingaben'!$B$23)</f>
        <v>88.9086912</v>
      </c>
      <c r="C29" s="3" t="s">
        <v>221</v>
      </c>
      <c r="D29" s="5" t="s">
        <v>786</v>
      </c>
    </row>
    <row r="30" customFormat="false" ht="15" hidden="false" customHeight="true" outlineLevel="0" collapsed="false">
      <c r="A30" s="3" t="s">
        <v>787</v>
      </c>
      <c r="B30" s="31" t="n">
        <f aca="false">'10-Kosten'!$B$28+'10-Kosten'!$B$29</f>
        <v>618.757546655422</v>
      </c>
      <c r="C30" s="3" t="s">
        <v>221</v>
      </c>
      <c r="D30" s="5" t="s">
        <v>788</v>
      </c>
    </row>
    <row r="31" customFormat="false" ht="15" hidden="false" customHeight="true" outlineLevel="0" collapsed="false">
      <c r="A31" s="18" t="s">
        <v>789</v>
      </c>
      <c r="B31" s="32" t="n">
        <f aca="false">'10-Kosten'!$B$29</f>
        <v>88.9086912</v>
      </c>
      <c r="C31" s="3" t="s">
        <v>221</v>
      </c>
      <c r="D31" s="5" t="s">
        <v>790</v>
      </c>
    </row>
    <row r="32" customFormat="false" ht="15" hidden="false" customHeight="true" outlineLevel="0" collapsed="false">
      <c r="A32" s="4" t="s">
        <v>791</v>
      </c>
      <c r="B32" s="4"/>
      <c r="C32" s="4"/>
      <c r="D32" s="4"/>
    </row>
    <row r="33" customFormat="false" ht="15" hidden="false" customHeight="true" outlineLevel="0" collapsed="false">
      <c r="A33" s="6" t="s">
        <v>746</v>
      </c>
      <c r="B33" s="6" t="s">
        <v>747</v>
      </c>
      <c r="C33" s="6" t="s">
        <v>46</v>
      </c>
      <c r="D33" s="6" t="s">
        <v>418</v>
      </c>
    </row>
    <row r="34" customFormat="false" ht="15" hidden="false" customHeight="true" outlineLevel="0" collapsed="false">
      <c r="A34" s="3" t="s">
        <v>229</v>
      </c>
      <c r="B34" s="31" t="n">
        <f aca="false">'07-Wasser'!$B$19*'01-Eingaben'!$B$85</f>
        <v>1.71072</v>
      </c>
      <c r="C34" s="3" t="s">
        <v>221</v>
      </c>
      <c r="D34" s="5" t="s">
        <v>792</v>
      </c>
    </row>
    <row r="35" customFormat="false" ht="15" hidden="false" customHeight="true" outlineLevel="0" collapsed="false">
      <c r="A35" s="3" t="s">
        <v>232</v>
      </c>
      <c r="B35" s="31" t="n">
        <f aca="false">'09-Ertrag'!$B$10/1000*'01-Eingaben'!$B$86</f>
        <v>1.0606464</v>
      </c>
      <c r="C35" s="3" t="s">
        <v>221</v>
      </c>
      <c r="D35" s="5" t="s">
        <v>793</v>
      </c>
    </row>
    <row r="36" customFormat="false" ht="15" hidden="false" customHeight="true" outlineLevel="0" collapsed="false">
      <c r="A36" s="18" t="s">
        <v>794</v>
      </c>
      <c r="B36" s="32" t="n">
        <f aca="false">'10-Kosten'!$B$34+'10-Kosten'!$B$35</f>
        <v>2.7713664</v>
      </c>
      <c r="C36" s="3" t="s">
        <v>221</v>
      </c>
      <c r="D36" s="5" t="s">
        <v>795</v>
      </c>
    </row>
    <row r="37" customFormat="false" ht="15" hidden="false" customHeight="true" outlineLevel="0" collapsed="false">
      <c r="A37" s="18" t="s">
        <v>796</v>
      </c>
      <c r="B37" s="32" t="n">
        <f aca="false">'10-Kosten'!$B$36/'09-Ertrag'!$B$11*100</f>
        <v>1.10454545454545</v>
      </c>
      <c r="C37" s="3" t="s">
        <v>221</v>
      </c>
      <c r="D37" s="5" t="s">
        <v>797</v>
      </c>
    </row>
    <row r="38" customFormat="false" ht="15" hidden="false" customHeight="true" outlineLevel="0" collapsed="false">
      <c r="A38" s="18" t="s">
        <v>798</v>
      </c>
      <c r="B38" s="32" t="n">
        <f aca="false">'10-Kosten'!$B$28/'04-Rack'!$B$18</f>
        <v>4645.84083417002</v>
      </c>
      <c r="C38" s="3" t="s">
        <v>212</v>
      </c>
      <c r="D38" s="5" t="s">
        <v>799</v>
      </c>
    </row>
    <row r="39" customFormat="false" ht="15" hidden="false" customHeight="true" outlineLevel="0" collapsed="false">
      <c r="A39" s="3" t="s">
        <v>800</v>
      </c>
      <c r="B39" s="3" t="s">
        <v>801</v>
      </c>
    </row>
    <row r="40" customFormat="false" ht="15" hidden="false" customHeight="true" outlineLevel="0" collapsed="false">
      <c r="A40" s="3"/>
      <c r="B40" s="3" t="s">
        <v>802</v>
      </c>
    </row>
    <row r="42" customFormat="false" ht="15" hidden="false" customHeight="true" outlineLevel="0" collapsed="false">
      <c r="A42" s="4" t="s">
        <v>803</v>
      </c>
    </row>
    <row r="43" customFormat="false" ht="15" hidden="false" customHeight="true" outlineLevel="0" collapsed="false">
      <c r="A43" s="6" t="s">
        <v>746</v>
      </c>
      <c r="B43" s="6" t="s">
        <v>747</v>
      </c>
      <c r="C43" s="6" t="s">
        <v>46</v>
      </c>
      <c r="D43" s="6" t="s">
        <v>748</v>
      </c>
    </row>
    <row r="44" customFormat="false" ht="15" hidden="false" customHeight="true" outlineLevel="0" collapsed="false">
      <c r="A44" s="3" t="s">
        <v>804</v>
      </c>
      <c r="B44" s="31" t="n">
        <f aca="false">2*('01-Eingaben'!$B$30*'01-Eingaben'!$B$31+'01-Eingaben'!$B$30*'01-Eingaben'!$B$90+'01-Eingaben'!$B$31*'01-Eingaben'!$B$90)/1000000*(1+'01-Eingaben'!$B$41)*'13-Zuschnitt'!$B$47</f>
        <v>37.26</v>
      </c>
      <c r="C44" s="1" t="s">
        <v>221</v>
      </c>
      <c r="D44" s="5" t="s">
        <v>805</v>
      </c>
    </row>
    <row r="45" customFormat="false" ht="15" hidden="false" customHeight="true" outlineLevel="0" collapsed="false">
      <c r="A45" s="3" t="s">
        <v>806</v>
      </c>
      <c r="B45" s="31" t="n">
        <f aca="false">2*('01-Eingaben'!$B$32*'01-Eingaben'!$B$33+'01-Eingaben'!$B$32*'01-Eingaben'!$B$91+'01-Eingaben'!$B$33*'01-Eingaben'!$B$91)/1000000*(1+'01-Eingaben'!$B$41)*'13-Zuschnitt'!$B$47</f>
        <v>43.47</v>
      </c>
      <c r="C45" s="1" t="s">
        <v>221</v>
      </c>
      <c r="D45" s="5" t="s">
        <v>805</v>
      </c>
    </row>
    <row r="46" customFormat="false" ht="15" hidden="false" customHeight="true" outlineLevel="0" collapsed="false">
      <c r="A46" s="3" t="s">
        <v>807</v>
      </c>
      <c r="B46" s="31" t="n">
        <f aca="false">'01-Eingaben'!$B$84</f>
        <v>60</v>
      </c>
      <c r="C46" s="1" t="s">
        <v>221</v>
      </c>
      <c r="D46" s="5" t="s">
        <v>808</v>
      </c>
    </row>
    <row r="47" customFormat="false" ht="15" hidden="false" customHeight="true" outlineLevel="0" collapsed="false">
      <c r="A47" s="3" t="s">
        <v>809</v>
      </c>
      <c r="B47" s="31" t="n">
        <f aca="false">'10-Kosten'!$B$44+'10-Kosten'!$B$45+'10-Kosten'!$B$46</f>
        <v>140.73</v>
      </c>
      <c r="C47" s="1" t="s">
        <v>221</v>
      </c>
      <c r="D47" s="5" t="s">
        <v>810</v>
      </c>
    </row>
    <row r="48" customFormat="false" ht="15" hidden="false" customHeight="true" outlineLevel="0" collapsed="false">
      <c r="A48" s="3" t="s">
        <v>811</v>
      </c>
      <c r="B48" s="31" t="n">
        <f aca="false">'10-Kosten'!$B$47/'01-Eingaben'!$B$95</f>
        <v>140.73</v>
      </c>
      <c r="C48" s="1" t="s">
        <v>221</v>
      </c>
      <c r="D48" s="5" t="s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62"/>
  </cols>
  <sheetData>
    <row r="1" customFormat="false" ht="15" hidden="false" customHeight="true" outlineLevel="0" collapsed="false">
      <c r="A1" s="33" t="s">
        <v>813</v>
      </c>
      <c r="B1" s="33"/>
      <c r="C1" s="33"/>
      <c r="D1" s="33"/>
    </row>
    <row r="2" customFormat="false" ht="15" hidden="false" customHeight="true" outlineLevel="0" collapsed="false">
      <c r="A2" s="34" t="s">
        <v>814</v>
      </c>
      <c r="B2" s="34"/>
      <c r="C2" s="34"/>
      <c r="D2" s="34"/>
    </row>
    <row r="4" customFormat="false" ht="15" hidden="false" customHeight="true" outlineLevel="0" collapsed="false">
      <c r="A4" s="33" t="s">
        <v>815</v>
      </c>
      <c r="B4" s="33"/>
      <c r="C4" s="33"/>
      <c r="D4" s="33"/>
    </row>
    <row r="5" customFormat="false" ht="15" hidden="false" customHeight="true" outlineLevel="0" collapsed="false">
      <c r="A5" s="33" t="s">
        <v>77</v>
      </c>
      <c r="B5" s="33" t="s">
        <v>45</v>
      </c>
      <c r="C5" s="33" t="s">
        <v>46</v>
      </c>
      <c r="D5" s="33" t="s">
        <v>418</v>
      </c>
    </row>
    <row r="6" customFormat="false" ht="15" hidden="false" customHeight="true" outlineLevel="0" collapsed="false">
      <c r="A6" s="34" t="s">
        <v>816</v>
      </c>
      <c r="B6" s="35" t="n">
        <f aca="false">'03-Modul'!$B$66*'01-Eingaben'!$B$36/1000*'01-Eingaben'!$B$99</f>
        <v>10.6123885442149</v>
      </c>
      <c r="C6" s="34" t="s">
        <v>257</v>
      </c>
      <c r="D6" s="34" t="s">
        <v>817</v>
      </c>
    </row>
    <row r="7" customFormat="false" ht="15" hidden="false" customHeight="true" outlineLevel="0" collapsed="false">
      <c r="A7" s="34" t="s">
        <v>818</v>
      </c>
      <c r="B7" s="35" t="n">
        <f aca="false">'01-Eingaben'!$B$7*'01-Eingaben'!$B$101</f>
        <v>1.8</v>
      </c>
      <c r="C7" s="34" t="s">
        <v>257</v>
      </c>
      <c r="D7" s="34" t="s">
        <v>819</v>
      </c>
    </row>
    <row r="8" customFormat="false" ht="15" hidden="false" customHeight="true" outlineLevel="0" collapsed="false">
      <c r="A8" s="34" t="s">
        <v>820</v>
      </c>
      <c r="B8" s="35" t="n">
        <f aca="false">'07-Wasser'!$B$19/'01-Eingaben'!$B$96*'01-Eingaben'!$B$102</f>
        <v>2.8512</v>
      </c>
      <c r="C8" s="34" t="s">
        <v>257</v>
      </c>
      <c r="D8" s="34" t="s">
        <v>821</v>
      </c>
    </row>
    <row r="9" customFormat="false" ht="15" hidden="false" customHeight="true" outlineLevel="0" collapsed="false">
      <c r="A9" s="34" t="s">
        <v>822</v>
      </c>
      <c r="B9" s="35" t="n">
        <f aca="false">'01-Eingaben'!$B$103</f>
        <v>1.5</v>
      </c>
      <c r="C9" s="34" t="s">
        <v>257</v>
      </c>
      <c r="D9" s="34" t="s">
        <v>823</v>
      </c>
    </row>
    <row r="10" customFormat="false" ht="15" hidden="false" customHeight="true" outlineLevel="0" collapsed="false">
      <c r="A10" s="34" t="s">
        <v>824</v>
      </c>
      <c r="B10" s="36" t="n">
        <f aca="false">'11-Massen-Statik'!$B$6+'11-Massen-Statik'!$B$7+'11-Massen-Statik'!$B$8+'11-Massen-Statik'!$B$9</f>
        <v>16.7635885442149</v>
      </c>
      <c r="C10" s="34" t="s">
        <v>257</v>
      </c>
      <c r="D10" s="34" t="s">
        <v>825</v>
      </c>
    </row>
    <row r="11" customFormat="false" ht="15" hidden="false" customHeight="true" outlineLevel="0" collapsed="false">
      <c r="A11" s="34" t="s">
        <v>774</v>
      </c>
      <c r="B11" s="35" t="n">
        <f aca="false">'15-Tragstruktur'!$B$55</f>
        <v>23.4792474517622</v>
      </c>
      <c r="C11" s="34" t="s">
        <v>257</v>
      </c>
      <c r="D11" s="34" t="s">
        <v>775</v>
      </c>
    </row>
    <row r="12" customFormat="false" ht="15" hidden="false" customHeight="true" outlineLevel="0" collapsed="false">
      <c r="A12" s="34" t="s">
        <v>826</v>
      </c>
      <c r="B12" s="35" t="n">
        <f aca="false">'04-Rack'!$B$25/(1+'01-Eingaben'!$B$41)*'01-Eingaben'!$B$36/1000*'01-Eingaben'!$B$99</f>
        <v>0</v>
      </c>
      <c r="C12" s="34" t="s">
        <v>257</v>
      </c>
      <c r="D12" s="34" t="s">
        <v>827</v>
      </c>
    </row>
    <row r="13" customFormat="false" ht="15" hidden="false" customHeight="true" outlineLevel="0" collapsed="false">
      <c r="A13" s="34" t="s">
        <v>828</v>
      </c>
      <c r="B13" s="35" t="n">
        <f aca="false">'11-Massen-Statik'!$B$11+'11-Massen-Statik'!$B$12</f>
        <v>23.4792474517622</v>
      </c>
      <c r="C13" s="34" t="s">
        <v>257</v>
      </c>
      <c r="D13" s="34" t="s">
        <v>829</v>
      </c>
    </row>
    <row r="14" customFormat="false" ht="15" hidden="false" customHeight="true" outlineLevel="0" collapsed="false">
      <c r="A14" s="34" t="s">
        <v>830</v>
      </c>
      <c r="B14" s="36" t="n">
        <f aca="false">'11-Massen-Statik'!$B$13+'11-Massen-Statik'!$B$10*'01-Eingaben'!$B$96</f>
        <v>40.2428359959771</v>
      </c>
      <c r="C14" s="34" t="s">
        <v>257</v>
      </c>
      <c r="D14" s="34" t="s">
        <v>831</v>
      </c>
    </row>
    <row r="16" customFormat="false" ht="15" hidden="false" customHeight="true" outlineLevel="0" collapsed="false">
      <c r="A16" s="33" t="s">
        <v>832</v>
      </c>
      <c r="B16" s="33"/>
      <c r="C16" s="33"/>
      <c r="D16" s="33"/>
    </row>
    <row r="17" customFormat="false" ht="15" hidden="false" customHeight="true" outlineLevel="0" collapsed="false">
      <c r="A17" s="33" t="s">
        <v>77</v>
      </c>
      <c r="B17" s="33" t="s">
        <v>45</v>
      </c>
      <c r="C17" s="33" t="s">
        <v>46</v>
      </c>
      <c r="D17" s="33" t="s">
        <v>418</v>
      </c>
    </row>
    <row r="18" customFormat="false" ht="15" hidden="false" customHeight="true" outlineLevel="0" collapsed="false">
      <c r="A18" s="34" t="s">
        <v>833</v>
      </c>
      <c r="B18" s="35" t="n">
        <f aca="false">'04-Rack'!$B$14/2</f>
        <v>860</v>
      </c>
      <c r="C18" s="34" t="s">
        <v>82</v>
      </c>
      <c r="D18" s="34" t="s">
        <v>834</v>
      </c>
    </row>
    <row r="19" customFormat="false" ht="15" hidden="false" customHeight="true" outlineLevel="0" collapsed="false">
      <c r="A19" s="34" t="s">
        <v>835</v>
      </c>
      <c r="B19" s="35" t="n">
        <f aca="false">'03-Modul'!$B$34/2+'04-Rack'!$B$7+'01-Eingaben'!$B$27+'01-Eingaben'!$B$26+('04-Rack'!$B$39-1)/2*'04-Rack'!$B$5</f>
        <v>282</v>
      </c>
      <c r="C19" s="34" t="s">
        <v>82</v>
      </c>
      <c r="D19" s="34" t="s">
        <v>836</v>
      </c>
    </row>
    <row r="20" customFormat="false" ht="15" hidden="false" customHeight="true" outlineLevel="0" collapsed="false">
      <c r="A20" s="34" t="s">
        <v>837</v>
      </c>
      <c r="B20" s="35" t="n">
        <f aca="false">('11-Massen-Statik'!$B$13*'11-Massen-Statik'!$B$18+'11-Massen-Statik'!$B$10*'01-Eingaben'!$B$96*'11-Massen-Statik'!$B$19)/'11-Massen-Statik'!$B$14</f>
        <v>619.2278491624</v>
      </c>
      <c r="C20" s="34" t="s">
        <v>82</v>
      </c>
      <c r="D20" s="34" t="s">
        <v>838</v>
      </c>
    </row>
    <row r="21" customFormat="false" ht="15" hidden="false" customHeight="true" outlineLevel="0" collapsed="false">
      <c r="A21" s="34" t="s">
        <v>839</v>
      </c>
      <c r="B21" s="36" t="n">
        <f aca="false">DEGREES(ATAN((MIN('04-Rack'!$B$12,'04-Rack'!$B$13)/2)/'11-Massen-Statik'!$B$20))</f>
        <v>22.5400636270508</v>
      </c>
      <c r="C21" s="34" t="s">
        <v>408</v>
      </c>
      <c r="D21" s="34" t="s">
        <v>840</v>
      </c>
    </row>
    <row r="22" customFormat="false" ht="15" hidden="false" customHeight="true" outlineLevel="0" collapsed="false">
      <c r="A22" s="34" t="s">
        <v>841</v>
      </c>
      <c r="B22" s="35" t="str">
        <f aca="false">IF('11-Massen-Statik'!$B$21&gt;=20,"ok — frei stehend vertretbar","gering — Rack an der Wand sichern")</f>
        <v>ok — frei stehend vertretbar</v>
      </c>
      <c r="C22" s="34"/>
      <c r="D22" s="34" t="s">
        <v>842</v>
      </c>
    </row>
    <row r="24" customFormat="false" ht="15" hidden="false" customHeight="true" outlineLevel="0" collapsed="false">
      <c r="A24" s="33" t="s">
        <v>843</v>
      </c>
      <c r="B24" s="33"/>
      <c r="C24" s="33"/>
      <c r="D24" s="33"/>
    </row>
    <row r="25" customFormat="false" ht="15" hidden="false" customHeight="true" outlineLevel="0" collapsed="false">
      <c r="A25" s="33" t="s">
        <v>77</v>
      </c>
      <c r="B25" s="33" t="s">
        <v>45</v>
      </c>
      <c r="C25" s="33" t="s">
        <v>46</v>
      </c>
      <c r="D25" s="33" t="s">
        <v>418</v>
      </c>
    </row>
    <row r="26" customFormat="false" ht="15" hidden="false" customHeight="true" outlineLevel="0" collapsed="false">
      <c r="A26" s="34" t="s">
        <v>844</v>
      </c>
      <c r="B26" s="35" t="n">
        <f aca="false">'14-Modulmasse'!$B$38</f>
        <v>36.9617066802686</v>
      </c>
      <c r="C26" s="34" t="s">
        <v>257</v>
      </c>
      <c r="D26" s="34" t="s">
        <v>845</v>
      </c>
    </row>
    <row r="27" customFormat="false" ht="15" hidden="false" customHeight="true" outlineLevel="0" collapsed="false">
      <c r="A27" s="34" t="s">
        <v>846</v>
      </c>
      <c r="B27" s="35" t="n">
        <f aca="false">IF('01-Eingaben'!$B$151=1,'04-Rack'!$B$11,'15-Tragstruktur'!$B$9)</f>
        <v>490</v>
      </c>
      <c r="C27" s="34" t="s">
        <v>82</v>
      </c>
      <c r="D27" s="34" t="s">
        <v>847</v>
      </c>
    </row>
    <row r="28" customFormat="false" ht="15" hidden="false" customHeight="true" outlineLevel="0" collapsed="false">
      <c r="A28" s="34" t="s">
        <v>848</v>
      </c>
      <c r="B28" s="35" t="n">
        <f aca="false">IF('01-Eingaben'!$B$151=1,('01-Eingaben'!$B$26^4-('01-Eingaben'!$B$26-2*'01-Eingaben'!$B$100)^4)/12,'15-Tragstruktur'!$B$21)</f>
        <v>2238.63656655844</v>
      </c>
      <c r="C28" s="34" t="s">
        <v>849</v>
      </c>
      <c r="D28" s="34" t="s">
        <v>850</v>
      </c>
    </row>
    <row r="29" customFormat="false" ht="15" hidden="false" customHeight="true" outlineLevel="0" collapsed="false">
      <c r="A29" s="34" t="s">
        <v>851</v>
      </c>
      <c r="B29" s="35" t="n">
        <f aca="false">IF('01-Eingaben'!$B$151=1,B26*9.81*B27^3/(48*200000*B28*2),'15-Tragstruktur'!$B$23)</f>
        <v>0.620303824710181</v>
      </c>
      <c r="C29" s="34" t="s">
        <v>82</v>
      </c>
      <c r="D29" s="34" t="s">
        <v>852</v>
      </c>
    </row>
    <row r="30" customFormat="false" ht="15" hidden="false" customHeight="true" outlineLevel="0" collapsed="false">
      <c r="A30" s="34" t="s">
        <v>853</v>
      </c>
      <c r="B30" s="35" t="str">
        <f aca="false">IF(B29&lt;=B27/500,"ok — unter L/500","zu weich — Profil vergroessern")</f>
        <v>ok — unter L/500</v>
      </c>
      <c r="C30" s="34"/>
      <c r="D30" s="34" t="s">
        <v>854</v>
      </c>
    </row>
    <row r="32" customFormat="false" ht="15" hidden="false" customHeight="true" outlineLevel="0" collapsed="false">
      <c r="A32" s="34" t="s">
        <v>73</v>
      </c>
      <c r="B32" s="34" t="s">
        <v>855</v>
      </c>
      <c r="C32" s="34"/>
      <c r="D32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58"/>
  </cols>
  <sheetData>
    <row r="1" customFormat="false" ht="15" hidden="false" customHeight="true" outlineLevel="0" collapsed="false">
      <c r="A1" s="33" t="s">
        <v>856</v>
      </c>
      <c r="B1" s="33"/>
      <c r="C1" s="33"/>
      <c r="D1" s="33"/>
    </row>
    <row r="2" customFormat="false" ht="15" hidden="false" customHeight="true" outlineLevel="0" collapsed="false">
      <c r="A2" s="34" t="s">
        <v>857</v>
      </c>
      <c r="B2" s="34"/>
      <c r="C2" s="34"/>
      <c r="D2" s="34"/>
    </row>
    <row r="4" customFormat="false" ht="15" hidden="false" customHeight="true" outlineLevel="0" collapsed="false">
      <c r="A4" s="33" t="s">
        <v>858</v>
      </c>
      <c r="B4" s="33"/>
      <c r="C4" s="33"/>
      <c r="D4" s="33"/>
    </row>
    <row r="5" customFormat="false" ht="15" hidden="false" customHeight="true" outlineLevel="0" collapsed="false">
      <c r="A5" s="33" t="s">
        <v>77</v>
      </c>
      <c r="B5" s="33" t="s">
        <v>45</v>
      </c>
      <c r="C5" s="33" t="s">
        <v>46</v>
      </c>
      <c r="D5" s="33" t="s">
        <v>418</v>
      </c>
    </row>
    <row r="6" customFormat="false" ht="15" hidden="false" customHeight="true" outlineLevel="0" collapsed="false">
      <c r="A6" s="34" t="s">
        <v>859</v>
      </c>
      <c r="B6" s="37" t="n">
        <f aca="false">'08-Elektrik'!$B$12</f>
        <v>1.20416666666667</v>
      </c>
      <c r="C6" s="34" t="s">
        <v>700</v>
      </c>
      <c r="D6" s="34" t="s">
        <v>860</v>
      </c>
    </row>
    <row r="7" customFormat="false" ht="15" hidden="false" customHeight="true" outlineLevel="0" collapsed="false">
      <c r="A7" s="34" t="s">
        <v>268</v>
      </c>
      <c r="B7" s="37" t="n">
        <f aca="false">'01-Eingaben'!$B$63*'01-Eingaben'!$B$107</f>
        <v>0.72</v>
      </c>
      <c r="C7" s="34" t="s">
        <v>186</v>
      </c>
      <c r="D7" s="34" t="s">
        <v>861</v>
      </c>
    </row>
    <row r="8" customFormat="false" ht="15" hidden="false" customHeight="true" outlineLevel="0" collapsed="false">
      <c r="A8" s="34" t="s">
        <v>862</v>
      </c>
      <c r="B8" s="38" t="n">
        <f aca="false">'12-Installationsgrenzen'!$B$7*'01-Eingaben'!$B$106/(2*'01-Eingaben'!$B$108*'12-Installationsgrenzen'!$B$6)</f>
        <v>25.6253089471083</v>
      </c>
      <c r="C8" s="34" t="s">
        <v>276</v>
      </c>
      <c r="D8" s="34" t="s">
        <v>863</v>
      </c>
    </row>
    <row r="9" customFormat="false" ht="15" hidden="false" customHeight="true" outlineLevel="0" collapsed="false">
      <c r="A9" s="34" t="s">
        <v>864</v>
      </c>
      <c r="B9" s="37" t="str">
        <f aca="false">IF('12-Installationsgrenzen'!$B$8&gt;=5,"unkritisch — Schrank kann im Nebenraum stehen",IF('12-Installationsgrenzen'!$B$8&gt;=2,"Schrank in Racknähe halten","Querschnitt erhoehen"))</f>
        <v>unkritisch — Schrank kann im Nebenraum stehen</v>
      </c>
      <c r="C9" s="34"/>
      <c r="D9" s="34"/>
    </row>
    <row r="11" customFormat="false" ht="15" hidden="false" customHeight="true" outlineLevel="0" collapsed="false">
      <c r="A11" s="33" t="s">
        <v>865</v>
      </c>
      <c r="B11" s="33"/>
      <c r="C11" s="33"/>
      <c r="D11" s="33"/>
    </row>
    <row r="12" customFormat="false" ht="15" hidden="false" customHeight="true" outlineLevel="0" collapsed="false">
      <c r="A12" s="33" t="s">
        <v>77</v>
      </c>
      <c r="B12" s="33" t="s">
        <v>45</v>
      </c>
      <c r="C12" s="33" t="s">
        <v>46</v>
      </c>
      <c r="D12" s="33" t="s">
        <v>418</v>
      </c>
    </row>
    <row r="13" customFormat="false" ht="15" hidden="false" customHeight="true" outlineLevel="0" collapsed="false">
      <c r="A13" s="34" t="s">
        <v>866</v>
      </c>
      <c r="B13" s="37" t="n">
        <f aca="false">('04-Rack'!$B$14-'01-Eingaben'!$B$26)/1000</f>
        <v>1.69</v>
      </c>
      <c r="C13" s="34" t="s">
        <v>276</v>
      </c>
      <c r="D13" s="34" t="s">
        <v>867</v>
      </c>
    </row>
    <row r="14" customFormat="false" ht="15" hidden="false" customHeight="true" outlineLevel="0" collapsed="false">
      <c r="A14" s="34" t="s">
        <v>868</v>
      </c>
      <c r="B14" s="38" t="n">
        <f aca="false">'01-Eingaben'!$B$110-'12-Installationsgrenzen'!$B$13</f>
        <v>1.31</v>
      </c>
      <c r="C14" s="34" t="s">
        <v>276</v>
      </c>
      <c r="D14" s="34" t="s">
        <v>869</v>
      </c>
    </row>
    <row r="15" customFormat="false" ht="15" hidden="false" customHeight="true" outlineLevel="0" collapsed="false">
      <c r="A15" s="34" t="s">
        <v>870</v>
      </c>
      <c r="B15" s="37" t="n">
        <f aca="false">'01-Eingaben'!$B$59/3600/1000</f>
        <v>5.55555555555556E-006</v>
      </c>
      <c r="C15" s="34" t="s">
        <v>871</v>
      </c>
      <c r="D15" s="34" t="s">
        <v>872</v>
      </c>
    </row>
    <row r="16" customFormat="false" ht="15" hidden="false" customHeight="true" outlineLevel="0" collapsed="false">
      <c r="A16" s="34" t="s">
        <v>873</v>
      </c>
      <c r="B16" s="37" t="n">
        <f aca="false">'12-Installationsgrenzen'!$B$15/(PI()*('01-Eingaben'!$B$109/2000)^2)</f>
        <v>0.196487584064068</v>
      </c>
      <c r="C16" s="34" t="s">
        <v>874</v>
      </c>
      <c r="D16" s="34" t="s">
        <v>875</v>
      </c>
    </row>
    <row r="17" customFormat="false" ht="15" hidden="false" customHeight="true" outlineLevel="0" collapsed="false">
      <c r="A17" s="34" t="s">
        <v>876</v>
      </c>
      <c r="B17" s="37" t="n">
        <f aca="false">1000*'12-Installationsgrenzen'!$B$16*'01-Eingaben'!$B$109/1000/'01-Eingaben'!$B$111</f>
        <v>1178.92550438441</v>
      </c>
      <c r="C17" s="34" t="s">
        <v>89</v>
      </c>
      <c r="D17" s="34" t="s">
        <v>877</v>
      </c>
    </row>
    <row r="18" customFormat="false" ht="15" hidden="false" customHeight="true" outlineLevel="0" collapsed="false">
      <c r="A18" s="34" t="s">
        <v>878</v>
      </c>
      <c r="B18" s="37" t="n">
        <f aca="false">128*'01-Eingaben'!$B$111*'12-Installationsgrenzen'!$B$15/(PI()*('01-Eingaben'!$B$109/1000)^4)/9810</f>
        <v>0.0178038359102112</v>
      </c>
      <c r="C18" s="34" t="s">
        <v>879</v>
      </c>
      <c r="D18" s="34" t="s">
        <v>880</v>
      </c>
    </row>
    <row r="19" customFormat="false" ht="15" hidden="false" customHeight="true" outlineLevel="0" collapsed="false">
      <c r="A19" s="34" t="s">
        <v>881</v>
      </c>
      <c r="B19" s="38" t="n">
        <f aca="false">'12-Installationsgrenzen'!$B$14/'12-Installationsgrenzen'!$B$18</f>
        <v>73.5796491613733</v>
      </c>
      <c r="C19" s="34" t="s">
        <v>276</v>
      </c>
      <c r="D19" s="34" t="s">
        <v>882</v>
      </c>
    </row>
    <row r="20" customFormat="false" ht="15" hidden="false" customHeight="true" outlineLevel="0" collapsed="false">
      <c r="A20" s="34" t="s">
        <v>864</v>
      </c>
      <c r="B20" s="37" t="str">
        <f aca="false">IF('12-Installationsgrenzen'!$B$14&lt;=0,"FEHLER: Pumpe schafft die Rackhoehe nicht",IF('12-Installationsgrenzen'!$B$19&gt;=10,"unkritisch — die Rackhoehe dominiert, nicht die Schlauchlaenge","Schlauchlaenge begrenzt — Durchmesser erhoehen"))</f>
        <v>unkritisch — die Rackhoehe dominiert, nicht die Schlauchlaenge</v>
      </c>
      <c r="C20" s="34"/>
      <c r="D20" s="34"/>
    </row>
    <row r="22" customFormat="false" ht="15" hidden="false" customHeight="true" outlineLevel="0" collapsed="false">
      <c r="A22" s="34" t="s">
        <v>73</v>
      </c>
      <c r="B22" s="34" t="s">
        <v>883</v>
      </c>
      <c r="C22" s="34"/>
      <c r="D22" s="34"/>
    </row>
    <row r="23" customFormat="false" ht="15" hidden="false" customHeight="true" outlineLevel="0" collapsed="false">
      <c r="A23" s="34"/>
      <c r="B23" s="34" t="s">
        <v>884</v>
      </c>
      <c r="C23" s="34"/>
      <c r="D23" s="34"/>
    </row>
    <row r="25" customFormat="false" ht="15" hidden="false" customHeight="true" outlineLevel="0" collapsed="false">
      <c r="A25" s="33" t="s">
        <v>885</v>
      </c>
      <c r="B25" s="33"/>
      <c r="C25" s="33"/>
      <c r="D25" s="33"/>
    </row>
    <row r="26" customFormat="false" ht="15" hidden="false" customHeight="true" outlineLevel="0" collapsed="false">
      <c r="A26" s="33" t="s">
        <v>77</v>
      </c>
      <c r="B26" s="33" t="s">
        <v>45</v>
      </c>
      <c r="C26" s="33" t="s">
        <v>46</v>
      </c>
      <c r="D26" s="33" t="s">
        <v>418</v>
      </c>
    </row>
    <row r="27" customFormat="false" ht="15" hidden="false" customHeight="true" outlineLevel="0" collapsed="false">
      <c r="A27" s="34" t="s">
        <v>886</v>
      </c>
      <c r="B27" s="37" t="n">
        <f aca="false">'01-Eingaben'!$B$122-'01-Eingaben'!$B$124*10</f>
        <v>370</v>
      </c>
      <c r="C27" s="34" t="s">
        <v>298</v>
      </c>
      <c r="D27" s="34" t="s">
        <v>887</v>
      </c>
    </row>
    <row r="28" customFormat="false" ht="15" hidden="false" customHeight="true" outlineLevel="0" collapsed="false">
      <c r="A28" s="34" t="s">
        <v>888</v>
      </c>
      <c r="B28" s="38" t="n">
        <f aca="false">'12-Installationsgrenzen'!$B$27/'01-Eingaben'!$B$123</f>
        <v>3.7</v>
      </c>
      <c r="C28" s="34" t="s">
        <v>276</v>
      </c>
      <c r="D28" s="34" t="s">
        <v>889</v>
      </c>
    </row>
    <row r="29" customFormat="false" ht="15" hidden="false" customHeight="true" outlineLevel="0" collapsed="false">
      <c r="A29" s="34" t="s">
        <v>890</v>
      </c>
      <c r="B29" s="37" t="n">
        <f aca="false">'12-Installationsgrenzen'!$B$8/'12-Installationsgrenzen'!$B$28</f>
        <v>6.92575917489412</v>
      </c>
      <c r="C29" s="34" t="s">
        <v>89</v>
      </c>
      <c r="D29" s="34" t="s">
        <v>891</v>
      </c>
    </row>
    <row r="30" customFormat="false" ht="15" hidden="false" customHeight="true" outlineLevel="0" collapsed="false">
      <c r="A30" s="34" t="s">
        <v>892</v>
      </c>
      <c r="B30" s="37" t="n">
        <f aca="false">'12-Installationsgrenzen'!$B$28*10</f>
        <v>37</v>
      </c>
      <c r="C30" s="34" t="s">
        <v>276</v>
      </c>
      <c r="D30" s="34" t="s">
        <v>893</v>
      </c>
    </row>
    <row r="31" customFormat="false" ht="15" hidden="false" customHeight="true" outlineLevel="0" collapsed="false">
      <c r="A31" s="34" t="s">
        <v>864</v>
      </c>
      <c r="B31" s="37" t="str">
        <f aca="false">IF('12-Installationsgrenzen'!$B$28&gt;=5,"Schrank frei platzierbar","Schrank in Racknaehe ODER Bus-Extender ODER Controller je Modul")</f>
        <v>Schrank in Racknaehe ODER Bus-Extender ODER Controller je Modul</v>
      </c>
      <c r="C31" s="34"/>
      <c r="D31" s="34"/>
    </row>
    <row r="33" customFormat="false" ht="15" hidden="false" customHeight="true" outlineLevel="0" collapsed="false">
      <c r="A33" s="34" t="s">
        <v>894</v>
      </c>
      <c r="B33" s="34" t="s">
        <v>895</v>
      </c>
      <c r="C33" s="34"/>
      <c r="D33" s="34"/>
    </row>
    <row r="34" customFormat="false" ht="15" hidden="false" customHeight="true" outlineLevel="0" collapsed="false">
      <c r="A34" s="34"/>
      <c r="B34" s="34" t="s">
        <v>896</v>
      </c>
      <c r="C34" s="34"/>
      <c r="D34" s="34"/>
    </row>
    <row r="35" customFormat="false" ht="15" hidden="false" customHeight="true" outlineLevel="0" collapsed="false">
      <c r="A35" s="34"/>
      <c r="B35" s="34" t="s">
        <v>897</v>
      </c>
      <c r="C35" s="34"/>
      <c r="D35" s="34"/>
    </row>
    <row r="36" customFormat="false" ht="15" hidden="false" customHeight="true" outlineLevel="0" collapsed="false">
      <c r="A36" s="34"/>
      <c r="B36" s="34" t="s">
        <v>898</v>
      </c>
      <c r="C36" s="34"/>
      <c r="D36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44"/>
  </cols>
  <sheetData>
    <row r="1" customFormat="false" ht="15" hidden="false" customHeight="true" outlineLevel="0" collapsed="false">
      <c r="A1" s="33" t="s">
        <v>899</v>
      </c>
      <c r="B1" s="33"/>
      <c r="C1" s="33"/>
      <c r="D1" s="33"/>
      <c r="E1" s="33"/>
      <c r="F1" s="33"/>
    </row>
    <row r="2" customFormat="false" ht="15" hidden="false" customHeight="true" outlineLevel="0" collapsed="false">
      <c r="A2" s="34" t="s">
        <v>900</v>
      </c>
      <c r="B2" s="34"/>
      <c r="C2" s="34"/>
      <c r="D2" s="34"/>
      <c r="E2" s="34"/>
      <c r="F2" s="34"/>
    </row>
    <row r="4" customFormat="false" ht="15" hidden="false" customHeight="true" outlineLevel="0" collapsed="false">
      <c r="A4" s="33" t="s">
        <v>901</v>
      </c>
      <c r="B4" s="33" t="s">
        <v>902</v>
      </c>
      <c r="C4" s="33" t="s">
        <v>903</v>
      </c>
      <c r="D4" s="33" t="s">
        <v>904</v>
      </c>
      <c r="E4" s="33" t="s">
        <v>905</v>
      </c>
      <c r="F4" s="33" t="s">
        <v>906</v>
      </c>
    </row>
    <row r="5" customFormat="false" ht="15" hidden="false" customHeight="true" outlineLevel="0" collapsed="false">
      <c r="A5" s="34" t="s">
        <v>907</v>
      </c>
      <c r="B5" s="35" t="n">
        <f aca="false">'03-Modul'!$B$32</f>
        <v>448</v>
      </c>
      <c r="C5" s="35" t="n">
        <f aca="false">'03-Modul'!$B$33</f>
        <v>422</v>
      </c>
      <c r="D5" s="35" t="n">
        <f aca="false">1</f>
        <v>1</v>
      </c>
      <c r="E5" s="39" t="n">
        <f aca="false">B5*C5*D5/1000000</f>
        <v>0.189056</v>
      </c>
      <c r="F5" s="34" t="s">
        <v>908</v>
      </c>
    </row>
    <row r="6" customFormat="false" ht="15" hidden="false" customHeight="true" outlineLevel="0" collapsed="false">
      <c r="A6" s="34" t="s">
        <v>909</v>
      </c>
      <c r="B6" s="35" t="n">
        <f aca="false">'03-Modul'!$B$32</f>
        <v>448</v>
      </c>
      <c r="C6" s="35" t="n">
        <f aca="false">'03-Modul'!$B$33</f>
        <v>422</v>
      </c>
      <c r="D6" s="35" t="n">
        <f aca="false">1</f>
        <v>1</v>
      </c>
      <c r="E6" s="39" t="n">
        <f aca="false">B6*C6*D6/1000000</f>
        <v>0.189056</v>
      </c>
      <c r="F6" s="34" t="s">
        <v>910</v>
      </c>
    </row>
    <row r="7" customFormat="false" ht="15" hidden="false" customHeight="true" outlineLevel="0" collapsed="false">
      <c r="A7" s="34" t="s">
        <v>911</v>
      </c>
      <c r="B7" s="35" t="n">
        <f aca="false">'03-Modul'!$B$33-2*'01-Eingaben'!$B$36</f>
        <v>420</v>
      </c>
      <c r="C7" s="35" t="n">
        <f aca="false">'03-Modul'!$B$34-2*'01-Eingaben'!$B$36</f>
        <v>382</v>
      </c>
      <c r="D7" s="35" t="n">
        <f aca="false">2</f>
        <v>2</v>
      </c>
      <c r="E7" s="39" t="n">
        <f aca="false">B7*C7*D7/1000000</f>
        <v>0.32088</v>
      </c>
      <c r="F7" s="34" t="s">
        <v>912</v>
      </c>
    </row>
    <row r="8" customFormat="false" ht="15" hidden="false" customHeight="true" outlineLevel="0" collapsed="false">
      <c r="A8" s="34" t="s">
        <v>913</v>
      </c>
      <c r="B8" s="35" t="n">
        <f aca="false">'03-Modul'!$B$32-2*'01-Eingaben'!$B$36</f>
        <v>446</v>
      </c>
      <c r="C8" s="35" t="n">
        <f aca="false">'03-Modul'!$B$34-2*'01-Eingaben'!$B$36</f>
        <v>382</v>
      </c>
      <c r="D8" s="35" t="n">
        <f aca="false">1</f>
        <v>1</v>
      </c>
      <c r="E8" s="39" t="n">
        <f aca="false">B8*C8*D8/1000000</f>
        <v>0.170372</v>
      </c>
      <c r="F8" s="34" t="s">
        <v>914</v>
      </c>
    </row>
    <row r="9" customFormat="false" ht="15" hidden="false" customHeight="true" outlineLevel="0" collapsed="false">
      <c r="A9" s="34" t="s">
        <v>915</v>
      </c>
      <c r="B9" s="35" t="n">
        <f aca="false">'03-Modul'!$B$32-2*'01-Eingaben'!$B$36</f>
        <v>446</v>
      </c>
      <c r="C9" s="35" t="n">
        <f aca="false">'03-Modul'!$B$34-2*'01-Eingaben'!$B$36</f>
        <v>382</v>
      </c>
      <c r="D9" s="35" t="n">
        <f aca="false">1</f>
        <v>1</v>
      </c>
      <c r="E9" s="39" t="n">
        <f aca="false">B9*C9*D9/1000000</f>
        <v>0.170372</v>
      </c>
      <c r="F9" s="34" t="s">
        <v>916</v>
      </c>
    </row>
    <row r="10" customFormat="false" ht="15" hidden="false" customHeight="true" outlineLevel="0" collapsed="false">
      <c r="A10" s="34" t="s">
        <v>917</v>
      </c>
      <c r="B10" s="35" t="n">
        <f aca="false">'03-Modul'!$B$26+2*'01-Eingaben'!$B$117</f>
        <v>428</v>
      </c>
      <c r="C10" s="35" t="n">
        <f aca="false">'03-Modul'!$B$28+2*'01-Eingaben'!$B$117</f>
        <v>364</v>
      </c>
      <c r="D10" s="35" t="n">
        <f aca="false">1</f>
        <v>1</v>
      </c>
      <c r="E10" s="39" t="n">
        <f aca="false">B10*C10*D10/1000000</f>
        <v>0.155792</v>
      </c>
      <c r="F10" s="34" t="s">
        <v>918</v>
      </c>
    </row>
    <row r="11" customFormat="false" ht="15" hidden="false" customHeight="true" outlineLevel="0" collapsed="false">
      <c r="A11" s="34" t="s">
        <v>919</v>
      </c>
      <c r="B11" s="35" t="n">
        <f aca="false">'03-Modul'!$B$32-2*'01-Eingaben'!$B$36</f>
        <v>446</v>
      </c>
      <c r="C11" s="35" t="n">
        <f aca="false">'03-Modul'!$B$33-2*'01-Eingaben'!$B$36</f>
        <v>420</v>
      </c>
      <c r="D11" s="35" t="n">
        <f aca="false">1</f>
        <v>1</v>
      </c>
      <c r="E11" s="39" t="n">
        <f aca="false">B11*C11*D11/1000000</f>
        <v>0.18732</v>
      </c>
      <c r="F11" s="34" t="s">
        <v>920</v>
      </c>
    </row>
    <row r="12" customFormat="false" ht="15" hidden="false" customHeight="true" outlineLevel="0" collapsed="false">
      <c r="A12" s="34" t="s">
        <v>921</v>
      </c>
      <c r="B12" s="35" t="n">
        <f aca="false">2*'01-Eingaben'!$B$12+'01-Eingaben'!$B$114</f>
        <v>38</v>
      </c>
      <c r="C12" s="35" t="n">
        <f aca="false">'03-Modul'!$B$27</f>
        <v>378</v>
      </c>
      <c r="D12" s="35" t="n">
        <f aca="false">2</f>
        <v>2</v>
      </c>
      <c r="E12" s="39" t="n">
        <f aca="false">B12*C12*D12/1000000</f>
        <v>0.028728</v>
      </c>
      <c r="F12" s="34" t="s">
        <v>922</v>
      </c>
    </row>
    <row r="13" customFormat="false" ht="15" hidden="false" customHeight="true" outlineLevel="0" collapsed="false">
      <c r="A13" s="34" t="s">
        <v>923</v>
      </c>
      <c r="B13" s="35" t="n">
        <f aca="false">2*'01-Eingaben'!$B$12+2*'01-Eingaben'!$B$114+'01-Eingaben'!$B$10</f>
        <v>48</v>
      </c>
      <c r="C13" s="35" t="n">
        <f aca="false">'03-Modul'!$B$27</f>
        <v>378</v>
      </c>
      <c r="D13" s="35" t="n">
        <f aca="false">'01-Eingaben'!$B$8-1</f>
        <v>1</v>
      </c>
      <c r="E13" s="39" t="n">
        <f aca="false">B13*C13*D13/1000000</f>
        <v>0.018144</v>
      </c>
      <c r="F13" s="34" t="s">
        <v>924</v>
      </c>
    </row>
    <row r="14" customFormat="false" ht="15" hidden="false" customHeight="true" outlineLevel="0" collapsed="false">
      <c r="A14" s="34" t="s">
        <v>925</v>
      </c>
      <c r="B14" s="35" t="n">
        <f aca="false">2*'01-Eingaben'!$B$12+'01-Eingaben'!$B$116</f>
        <v>50</v>
      </c>
      <c r="C14" s="35" t="n">
        <f aca="false">'03-Modul'!$B$26</f>
        <v>404</v>
      </c>
      <c r="D14" s="35" t="n">
        <f aca="false">2</f>
        <v>2</v>
      </c>
      <c r="E14" s="39" t="n">
        <f aca="false">B14*C14*D14/1000000</f>
        <v>0.0404</v>
      </c>
      <c r="F14" s="34" t="s">
        <v>926</v>
      </c>
    </row>
    <row r="15" customFormat="false" ht="15" hidden="false" customHeight="true" outlineLevel="0" collapsed="false">
      <c r="A15" s="34" t="s">
        <v>927</v>
      </c>
      <c r="B15" s="35" t="n">
        <f aca="false">'01-Eingaben'!$B$115</f>
        <v>8</v>
      </c>
      <c r="C15" s="35" t="n">
        <f aca="false">'03-Modul'!$B$27</f>
        <v>378</v>
      </c>
      <c r="D15" s="35" t="n">
        <f aca="false">2</f>
        <v>2</v>
      </c>
      <c r="E15" s="39" t="n">
        <f aca="false">B15*C15*D15/1000000</f>
        <v>0.006048</v>
      </c>
      <c r="F15" s="34" t="s">
        <v>928</v>
      </c>
    </row>
    <row r="16" customFormat="false" ht="15" hidden="false" customHeight="true" outlineLevel="0" collapsed="false">
      <c r="A16" s="34" t="s">
        <v>929</v>
      </c>
      <c r="B16" s="35" t="n">
        <f aca="false">'01-Eingaben'!$B$115</f>
        <v>8</v>
      </c>
      <c r="C16" s="35" t="n">
        <f aca="false">'03-Modul'!$B$19</f>
        <v>354</v>
      </c>
      <c r="D16" s="35" t="n">
        <f aca="false">1</f>
        <v>1</v>
      </c>
      <c r="E16" s="39" t="n">
        <f aca="false">B16*C16*D16/1000000</f>
        <v>0.002832</v>
      </c>
      <c r="F16" s="34" t="s">
        <v>930</v>
      </c>
    </row>
    <row r="17" customFormat="false" ht="15" hidden="false" customHeight="true" outlineLevel="0" collapsed="false">
      <c r="A17" s="34" t="s">
        <v>931</v>
      </c>
      <c r="B17" s="35" t="n">
        <f aca="false">'01-Eingaben'!$B$116</f>
        <v>20</v>
      </c>
      <c r="C17" s="35" t="n">
        <f aca="false">'01-Eingaben'!$B$37-'01-Eingaben'!$B$36</f>
        <v>19</v>
      </c>
      <c r="D17" s="35" t="n">
        <f aca="false">4</f>
        <v>4</v>
      </c>
      <c r="E17" s="39" t="n">
        <f aca="false">B17*C17*D17/1000000</f>
        <v>0.00152</v>
      </c>
      <c r="F17" s="34" t="s">
        <v>932</v>
      </c>
    </row>
    <row r="18" customFormat="false" ht="15" hidden="false" customHeight="true" outlineLevel="0" collapsed="false">
      <c r="A18" s="33" t="s">
        <v>933</v>
      </c>
      <c r="B18" s="33"/>
      <c r="C18" s="33"/>
      <c r="D18" s="33"/>
      <c r="E18" s="40" t="n">
        <f aca="false">SUM(E5:E17)</f>
        <v>1.48052</v>
      </c>
      <c r="F18" s="33" t="s">
        <v>934</v>
      </c>
    </row>
    <row r="20" customFormat="false" ht="15" hidden="false" customHeight="true" outlineLevel="0" collapsed="false">
      <c r="A20" s="33" t="s">
        <v>935</v>
      </c>
      <c r="B20" s="33"/>
      <c r="C20" s="33"/>
      <c r="D20" s="33"/>
      <c r="E20" s="33"/>
      <c r="F20" s="33"/>
    </row>
    <row r="21" customFormat="false" ht="15" hidden="false" customHeight="true" outlineLevel="0" collapsed="false">
      <c r="A21" s="33" t="s">
        <v>901</v>
      </c>
      <c r="B21" s="33" t="s">
        <v>902</v>
      </c>
      <c r="C21" s="33" t="s">
        <v>903</v>
      </c>
      <c r="D21" s="33" t="s">
        <v>904</v>
      </c>
      <c r="E21" s="33" t="s">
        <v>905</v>
      </c>
      <c r="F21" s="33" t="s">
        <v>906</v>
      </c>
    </row>
    <row r="22" customFormat="false" ht="15" hidden="false" customHeight="true" outlineLevel="0" collapsed="false">
      <c r="A22" s="34" t="s">
        <v>936</v>
      </c>
      <c r="B22" s="35" t="n">
        <f aca="false">IF('01-Eingaben'!$B$163=1,'04-Rack'!$B$11,IF('01-Eingaben'!$B$163=2,'01-Eingaben'!$B$164,0))</f>
        <v>0</v>
      </c>
      <c r="C22" s="35" t="n">
        <f aca="false">'04-Rack'!$B$14</f>
        <v>1720</v>
      </c>
      <c r="D22" s="35" t="n">
        <v>1</v>
      </c>
      <c r="E22" s="39" t="n">
        <f aca="false">B22*C22*D22/1000000</f>
        <v>0</v>
      </c>
      <c r="F22" s="33" t="s">
        <v>937</v>
      </c>
    </row>
    <row r="23" customFormat="false" ht="15" hidden="false" customHeight="true" outlineLevel="0" collapsed="false">
      <c r="A23" s="34" t="s">
        <v>938</v>
      </c>
      <c r="B23" s="35" t="n">
        <f aca="false">'01-Eingaben'!$B$30</f>
        <v>300</v>
      </c>
      <c r="C23" s="35" t="n">
        <f aca="false">'01-Eingaben'!$B$31</f>
        <v>300</v>
      </c>
      <c r="D23" s="35" t="n">
        <f aca="false">2</f>
        <v>2</v>
      </c>
      <c r="E23" s="39" t="n">
        <f aca="false">B23*C23*D23/1000000</f>
        <v>0.18</v>
      </c>
      <c r="F23" s="34" t="s">
        <v>939</v>
      </c>
    </row>
    <row r="24" customFormat="false" ht="15" hidden="false" customHeight="true" outlineLevel="0" collapsed="false">
      <c r="A24" s="34" t="s">
        <v>940</v>
      </c>
      <c r="B24" s="35" t="n">
        <f aca="false">'01-Eingaben'!$B$30</f>
        <v>300</v>
      </c>
      <c r="C24" s="35" t="n">
        <f aca="false">'01-Eingaben'!$B$90</f>
        <v>150</v>
      </c>
      <c r="D24" s="35" t="n">
        <f aca="false">2</f>
        <v>2</v>
      </c>
      <c r="E24" s="39" t="n">
        <f aca="false">B24*C24*D24/1000000</f>
        <v>0.09</v>
      </c>
      <c r="F24" s="34" t="s">
        <v>941</v>
      </c>
    </row>
    <row r="25" customFormat="false" ht="15" hidden="false" customHeight="true" outlineLevel="0" collapsed="false">
      <c r="A25" s="34" t="s">
        <v>942</v>
      </c>
      <c r="B25" s="35" t="n">
        <f aca="false">'01-Eingaben'!$B$31</f>
        <v>300</v>
      </c>
      <c r="C25" s="35" t="n">
        <f aca="false">'01-Eingaben'!$B$90</f>
        <v>150</v>
      </c>
      <c r="D25" s="35" t="n">
        <f aca="false">2</f>
        <v>2</v>
      </c>
      <c r="E25" s="39" t="n">
        <f aca="false">B25*C25*D25/1000000</f>
        <v>0.09</v>
      </c>
      <c r="F25" s="34" t="s">
        <v>943</v>
      </c>
    </row>
    <row r="26" customFormat="false" ht="15" hidden="false" customHeight="true" outlineLevel="0" collapsed="false">
      <c r="A26" s="34" t="s">
        <v>944</v>
      </c>
      <c r="B26" s="35" t="n">
        <f aca="false">'01-Eingaben'!$B$32</f>
        <v>300</v>
      </c>
      <c r="C26" s="35" t="n">
        <f aca="false">'01-Eingaben'!$B$33</f>
        <v>300</v>
      </c>
      <c r="D26" s="35" t="n">
        <f aca="false">2</f>
        <v>2</v>
      </c>
      <c r="E26" s="39" t="n">
        <f aca="false">B26*C26*D26/1000000</f>
        <v>0.18</v>
      </c>
      <c r="F26" s="34" t="s">
        <v>939</v>
      </c>
    </row>
    <row r="27" customFormat="false" ht="15" hidden="false" customHeight="true" outlineLevel="0" collapsed="false">
      <c r="A27" s="34" t="s">
        <v>945</v>
      </c>
      <c r="B27" s="35" t="n">
        <f aca="false">'01-Eingaben'!$B$32</f>
        <v>300</v>
      </c>
      <c r="C27" s="35" t="n">
        <f aca="false">'01-Eingaben'!$B$91</f>
        <v>200</v>
      </c>
      <c r="D27" s="35" t="n">
        <f aca="false">2</f>
        <v>2</v>
      </c>
      <c r="E27" s="39" t="n">
        <f aca="false">B27*C27*D27/1000000</f>
        <v>0.12</v>
      </c>
      <c r="F27" s="34" t="s">
        <v>941</v>
      </c>
    </row>
    <row r="28" customFormat="false" ht="15" hidden="false" customHeight="true" outlineLevel="0" collapsed="false">
      <c r="A28" s="34" t="s">
        <v>946</v>
      </c>
      <c r="B28" s="35" t="n">
        <f aca="false">'01-Eingaben'!$B$33</f>
        <v>300</v>
      </c>
      <c r="C28" s="35" t="n">
        <f aca="false">'01-Eingaben'!$B$91</f>
        <v>200</v>
      </c>
      <c r="D28" s="35" t="n">
        <f aca="false">2</f>
        <v>2</v>
      </c>
      <c r="E28" s="39" t="n">
        <f aca="false">B28*C28*D28/1000000</f>
        <v>0.12</v>
      </c>
      <c r="F28" s="34" t="s">
        <v>943</v>
      </c>
    </row>
    <row r="29" customFormat="false" ht="15" hidden="false" customHeight="true" outlineLevel="0" collapsed="false">
      <c r="A29" s="33" t="s">
        <v>947</v>
      </c>
      <c r="B29" s="33"/>
      <c r="C29" s="33"/>
      <c r="D29" s="33"/>
      <c r="E29" s="40" t="n">
        <f aca="false">SUM(E22:E28)</f>
        <v>0.78</v>
      </c>
      <c r="F29" s="33"/>
    </row>
    <row r="31" customFormat="false" ht="15" hidden="false" customHeight="true" outlineLevel="0" collapsed="false">
      <c r="A31" s="33" t="s">
        <v>948</v>
      </c>
      <c r="B31" s="33"/>
      <c r="C31" s="33"/>
      <c r="D31" s="33"/>
      <c r="E31" s="33"/>
      <c r="F31" s="33"/>
    </row>
    <row r="32" customFormat="false" ht="15" hidden="false" customHeight="true" outlineLevel="0" collapsed="false">
      <c r="A32" s="33" t="s">
        <v>77</v>
      </c>
      <c r="B32" s="33" t="s">
        <v>45</v>
      </c>
      <c r="C32" s="33" t="s">
        <v>46</v>
      </c>
      <c r="D32" s="33" t="s">
        <v>418</v>
      </c>
      <c r="E32" s="33"/>
      <c r="F32" s="33"/>
    </row>
    <row r="33" customFormat="false" ht="15" hidden="false" customHeight="true" outlineLevel="0" collapsed="false">
      <c r="A33" s="34" t="s">
        <v>949</v>
      </c>
      <c r="B33" s="35" t="n">
        <f aca="false">E18*'01-Eingaben'!$B$96+E29</f>
        <v>2.26052</v>
      </c>
      <c r="C33" s="34" t="s">
        <v>439</v>
      </c>
      <c r="D33" s="34" t="s">
        <v>950</v>
      </c>
      <c r="E33" s="34"/>
      <c r="F33" s="34"/>
    </row>
    <row r="34" customFormat="false" ht="15" hidden="false" customHeight="true" outlineLevel="0" collapsed="false">
      <c r="A34" s="34" t="s">
        <v>951</v>
      </c>
      <c r="B34" s="35" t="n">
        <f aca="false">'03-Modul'!$B$67</f>
        <v>0.13736</v>
      </c>
      <c r="C34" s="34" t="s">
        <v>439</v>
      </c>
      <c r="D34" s="34" t="s">
        <v>952</v>
      </c>
      <c r="E34" s="34"/>
      <c r="F34" s="34"/>
    </row>
    <row r="35" customFormat="false" ht="15" hidden="false" customHeight="true" outlineLevel="0" collapsed="false">
      <c r="A35" s="34" t="s">
        <v>953</v>
      </c>
      <c r="B35" s="41" t="n">
        <f aca="false">B33+B34*'01-Eingaben'!$B$96</f>
        <v>2.39788</v>
      </c>
      <c r="C35" s="34" t="s">
        <v>439</v>
      </c>
      <c r="D35" s="34" t="s">
        <v>954</v>
      </c>
      <c r="E35" s="34"/>
      <c r="F35" s="34"/>
    </row>
    <row r="36" customFormat="false" ht="15" hidden="false" customHeight="true" outlineLevel="0" collapsed="false">
      <c r="A36" s="34" t="s">
        <v>955</v>
      </c>
      <c r="B36" s="35" t="n">
        <f aca="false">'01-Eingaben'!$B$118*'01-Eingaben'!$B$119/1000000</f>
        <v>2</v>
      </c>
      <c r="C36" s="34" t="s">
        <v>439</v>
      </c>
      <c r="D36" s="34" t="s">
        <v>956</v>
      </c>
      <c r="E36" s="34"/>
      <c r="F36" s="34"/>
    </row>
    <row r="37" customFormat="false" ht="15" hidden="false" customHeight="true" outlineLevel="0" collapsed="false">
      <c r="A37" s="34" t="s">
        <v>957</v>
      </c>
      <c r="B37" s="41" t="n">
        <f aca="false">ROUNDUP(B35/B36,0)</f>
        <v>2</v>
      </c>
      <c r="C37" s="34" t="s">
        <v>84</v>
      </c>
      <c r="D37" s="34" t="s">
        <v>958</v>
      </c>
      <c r="E37" s="34"/>
      <c r="F37" s="34"/>
    </row>
    <row r="38" customFormat="false" ht="15" hidden="false" customHeight="true" outlineLevel="0" collapsed="false">
      <c r="A38" s="34" t="s">
        <v>959</v>
      </c>
      <c r="B38" s="36" t="n">
        <f aca="false">ROUNDUP(B35/(B36*'01-Eingaben'!$B$168),0)</f>
        <v>3</v>
      </c>
      <c r="C38" s="34" t="s">
        <v>84</v>
      </c>
      <c r="D38" s="34" t="s">
        <v>960</v>
      </c>
      <c r="E38" s="34"/>
      <c r="F38" s="34"/>
    </row>
    <row r="39" customFormat="false" ht="15" hidden="false" customHeight="true" outlineLevel="0" collapsed="false">
      <c r="A39" s="34" t="s">
        <v>961</v>
      </c>
      <c r="B39" s="42" t="n">
        <f aca="false">1-B33/(B38*B36)</f>
        <v>0.623246666666667</v>
      </c>
      <c r="C39" s="34" t="s">
        <v>89</v>
      </c>
      <c r="D39" s="34" t="s">
        <v>962</v>
      </c>
      <c r="E39" s="34"/>
      <c r="F39" s="34"/>
    </row>
    <row r="40" customFormat="false" ht="15" hidden="false" customHeight="true" outlineLevel="0" collapsed="false">
      <c r="A40" s="34" t="s">
        <v>963</v>
      </c>
      <c r="B40" s="41" t="n">
        <f aca="false">B38*B36*'01-Eingaben'!$B$78</f>
        <v>540</v>
      </c>
      <c r="C40" s="34" t="s">
        <v>221</v>
      </c>
      <c r="D40" s="34" t="s">
        <v>964</v>
      </c>
      <c r="E40" s="34"/>
      <c r="F40" s="34"/>
    </row>
    <row r="41" customFormat="false" ht="15" hidden="false" customHeight="true" outlineLevel="0" collapsed="false">
      <c r="A41" s="34" t="s">
        <v>965</v>
      </c>
      <c r="B41" s="41" t="n">
        <f aca="false">B35*(1+'01-Eingaben'!$B$41)*'01-Eingaben'!$B$78</f>
        <v>248.18058</v>
      </c>
      <c r="C41" s="34" t="s">
        <v>221</v>
      </c>
      <c r="D41" s="34" t="s">
        <v>966</v>
      </c>
      <c r="E41" s="34"/>
      <c r="F41" s="34"/>
    </row>
    <row r="42" customFormat="false" ht="15" hidden="false" customHeight="true" outlineLevel="0" collapsed="false">
      <c r="A42" s="34" t="s">
        <v>967</v>
      </c>
      <c r="B42" s="41" t="n">
        <f aca="false">B40-B41</f>
        <v>291.81942</v>
      </c>
      <c r="C42" s="34" t="s">
        <v>221</v>
      </c>
      <c r="D42" s="34" t="s">
        <v>968</v>
      </c>
      <c r="E42" s="34"/>
      <c r="F42" s="34"/>
    </row>
    <row r="43" customFormat="false" ht="15" hidden="false" customHeight="true" outlineLevel="0" collapsed="false">
      <c r="A43" s="33" t="s">
        <v>969</v>
      </c>
      <c r="B43" s="33"/>
      <c r="C43" s="33"/>
    </row>
    <row r="44" customFormat="false" ht="15" hidden="false" customHeight="true" outlineLevel="0" collapsed="false">
      <c r="A44" s="33" t="s">
        <v>77</v>
      </c>
      <c r="B44" s="33" t="s">
        <v>45</v>
      </c>
      <c r="C44" s="33" t="s">
        <v>46</v>
      </c>
      <c r="D44" s="34" t="s">
        <v>418</v>
      </c>
      <c r="E44" s="34"/>
      <c r="F44" s="34"/>
    </row>
    <row r="45" customFormat="false" ht="15" hidden="false" customHeight="true" outlineLevel="0" collapsed="false">
      <c r="A45" s="34" t="s">
        <v>970</v>
      </c>
      <c r="B45" s="41" t="str">
        <f aca="false">CHOOSE('01-Eingaben'!$B$128,"Zuschnitt nach Mass","Tafelkauf (ganze Tafeln)","Restmaterial der Firma")</f>
        <v>Zuschnitt nach Mass</v>
      </c>
      <c r="C45" s="34"/>
      <c r="D45" s="34" t="s">
        <v>971</v>
      </c>
      <c r="E45" s="34"/>
      <c r="F45" s="34"/>
    </row>
    <row r="46" customFormat="false" ht="15" hidden="false" customHeight="true" outlineLevel="0" collapsed="false">
      <c r="A46" s="34" t="s">
        <v>972</v>
      </c>
      <c r="B46" s="43" t="n">
        <f aca="false">CHOOSE('01-Eingaben'!$B$128,1,B38*B36/(B35*(1+'01-Eingaben'!$B$41)),'01-Eingaben'!$B$129)</f>
        <v>1</v>
      </c>
      <c r="C46" s="34" t="s">
        <v>89</v>
      </c>
      <c r="D46" s="34" t="s">
        <v>973</v>
      </c>
      <c r="E46" s="34"/>
      <c r="F46" s="34"/>
    </row>
    <row r="47" customFormat="false" ht="15" hidden="false" customHeight="true" outlineLevel="0" collapsed="false">
      <c r="A47" s="34" t="s">
        <v>974</v>
      </c>
      <c r="B47" s="38" t="n">
        <f aca="false">'01-Eingaben'!$B$78*B46</f>
        <v>90</v>
      </c>
      <c r="C47" s="34" t="s">
        <v>212</v>
      </c>
      <c r="D47" s="1" t="s">
        <v>975</v>
      </c>
    </row>
    <row r="48" customFormat="false" ht="15" hidden="false" customHeight="true" outlineLevel="0" collapsed="false">
      <c r="A48" s="34" t="s">
        <v>976</v>
      </c>
      <c r="B48" s="44" t="n">
        <f aca="false">B35*(1+'01-Eingaben'!$B$41)*B47</f>
        <v>248.18058</v>
      </c>
      <c r="C48" s="34" t="s">
        <v>221</v>
      </c>
      <c r="D48" s="1" t="s">
        <v>977</v>
      </c>
    </row>
    <row r="50" customFormat="false" ht="15" hidden="false" customHeight="true" outlineLevel="0" collapsed="false">
      <c r="A50" s="34" t="s">
        <v>73</v>
      </c>
      <c r="B50" s="35" t="s">
        <v>978</v>
      </c>
      <c r="C50" s="34"/>
    </row>
    <row r="51" customFormat="false" ht="15" hidden="false" customHeight="true" outlineLevel="0" collapsed="false">
      <c r="A51" s="34"/>
      <c r="B51" s="35" t="s">
        <v>979</v>
      </c>
      <c r="C51" s="34"/>
    </row>
    <row r="52" customFormat="false" ht="15" hidden="false" customHeight="true" outlineLevel="0" collapsed="false">
      <c r="A52" s="34"/>
      <c r="B52" s="35" t="s">
        <v>980</v>
      </c>
      <c r="C52" s="34"/>
    </row>
    <row r="53" customFormat="false" ht="15" hidden="false" customHeight="true" outlineLevel="0" collapsed="false">
      <c r="A53" s="34"/>
      <c r="B53" s="35" t="s">
        <v>981</v>
      </c>
      <c r="C5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74"/>
  </cols>
  <sheetData>
    <row r="1" customFormat="false" ht="15" hidden="false" customHeight="true" outlineLevel="0" collapsed="false">
      <c r="A1" s="33" t="s">
        <v>982</v>
      </c>
    </row>
    <row r="2" customFormat="false" ht="15" hidden="false" customHeight="true" outlineLevel="0" collapsed="false">
      <c r="A2" s="34" t="s">
        <v>983</v>
      </c>
    </row>
    <row r="4" customFormat="false" ht="15" hidden="false" customHeight="true" outlineLevel="0" collapsed="false">
      <c r="A4" s="33" t="s">
        <v>984</v>
      </c>
    </row>
    <row r="5" customFormat="false" ht="15" hidden="false" customHeight="true" outlineLevel="0" collapsed="false">
      <c r="A5" s="33" t="s">
        <v>746</v>
      </c>
      <c r="B5" s="33" t="s">
        <v>985</v>
      </c>
      <c r="C5" s="33" t="s">
        <v>46</v>
      </c>
      <c r="D5" s="33" t="s">
        <v>418</v>
      </c>
    </row>
    <row r="6" customFormat="false" ht="15" hidden="false" customHeight="true" outlineLevel="0" collapsed="false">
      <c r="A6" s="34" t="s">
        <v>986</v>
      </c>
      <c r="B6" s="43" t="n">
        <f aca="false">'03-Modul'!$B$66*'01-Eingaben'!$B$36/1000*'01-Eingaben'!$B$99</f>
        <v>10.6123885442149</v>
      </c>
      <c r="C6" s="34" t="s">
        <v>257</v>
      </c>
      <c r="D6" s="34" t="s">
        <v>987</v>
      </c>
    </row>
    <row r="7" customFormat="false" ht="15" hidden="false" customHeight="true" outlineLevel="0" collapsed="false">
      <c r="A7" s="34" t="s">
        <v>988</v>
      </c>
      <c r="B7" s="43" t="n">
        <f aca="false">'01-Eingaben'!$B$7*'01-Eingaben'!$B$101</f>
        <v>1.8</v>
      </c>
      <c r="C7" s="34" t="s">
        <v>257</v>
      </c>
      <c r="D7" s="34" t="s">
        <v>819</v>
      </c>
    </row>
    <row r="8" customFormat="false" ht="15" hidden="false" customHeight="true" outlineLevel="0" collapsed="false">
      <c r="A8" s="34" t="s">
        <v>989</v>
      </c>
      <c r="B8" s="43" t="n">
        <f aca="false">'07-Wasser'!$B$19/'01-Eingaben'!$B$96*'01-Eingaben'!$B$102</f>
        <v>2.8512</v>
      </c>
      <c r="C8" s="34" t="s">
        <v>257</v>
      </c>
      <c r="D8" s="34" t="s">
        <v>821</v>
      </c>
    </row>
    <row r="9" customFormat="false" ht="15" hidden="false" customHeight="true" outlineLevel="0" collapsed="false">
      <c r="A9" s="34" t="s">
        <v>990</v>
      </c>
      <c r="B9" s="43" t="n">
        <f aca="false">'01-Eingaben'!$B$103</f>
        <v>1.5</v>
      </c>
      <c r="C9" s="34" t="s">
        <v>257</v>
      </c>
      <c r="D9" s="34" t="s">
        <v>991</v>
      </c>
    </row>
    <row r="10" customFormat="false" ht="15" hidden="false" customHeight="true" outlineLevel="0" collapsed="false">
      <c r="A10" s="34" t="s">
        <v>992</v>
      </c>
      <c r="B10" s="45" t="n">
        <f aca="false">SUM(B6:B9)</f>
        <v>16.7635885442149</v>
      </c>
      <c r="C10" s="34" t="s">
        <v>257</v>
      </c>
      <c r="D10" s="34" t="s">
        <v>993</v>
      </c>
    </row>
    <row r="12" customFormat="false" ht="15" hidden="false" customHeight="true" outlineLevel="0" collapsed="false">
      <c r="A12" s="33" t="s">
        <v>994</v>
      </c>
    </row>
    <row r="13" customFormat="false" ht="15" hidden="false" customHeight="true" outlineLevel="0" collapsed="false">
      <c r="A13" s="33" t="s">
        <v>746</v>
      </c>
      <c r="B13" s="33" t="s">
        <v>985</v>
      </c>
      <c r="C13" s="33" t="s">
        <v>46</v>
      </c>
      <c r="D13" s="33" t="s">
        <v>418</v>
      </c>
    </row>
    <row r="14" customFormat="false" ht="15" hidden="false" customHeight="true" outlineLevel="0" collapsed="false">
      <c r="A14" s="34" t="s">
        <v>995</v>
      </c>
      <c r="B14" s="43" t="n">
        <f aca="false">'03-Modul'!$B$40*'01-Eingaben'!$B$36/1000*'01-Eingaben'!$B$99</f>
        <v>2.4128496</v>
      </c>
      <c r="C14" s="34" t="s">
        <v>257</v>
      </c>
      <c r="D14" s="34" t="s">
        <v>996</v>
      </c>
    </row>
    <row r="15" customFormat="false" ht="15" hidden="false" customHeight="true" outlineLevel="0" collapsed="false">
      <c r="A15" s="34" t="s">
        <v>997</v>
      </c>
      <c r="B15" s="43" t="n">
        <f aca="false">'03-Modul'!$B$55*'01-Eingaben'!$B$138</f>
        <v>0.8202432</v>
      </c>
      <c r="C15" s="34" t="s">
        <v>257</v>
      </c>
      <c r="D15" s="34" t="s">
        <v>998</v>
      </c>
    </row>
    <row r="16" customFormat="false" ht="15" hidden="false" customHeight="true" outlineLevel="0" collapsed="false">
      <c r="A16" s="34" t="s">
        <v>999</v>
      </c>
      <c r="B16" s="43" t="n">
        <f aca="false">'03-Modul'!$B$37*'01-Eingaben'!$B$36/1000*'01-Eingaben'!$B$99</f>
        <v>6.6137536</v>
      </c>
      <c r="C16" s="34" t="s">
        <v>257</v>
      </c>
      <c r="D16" s="34" t="s">
        <v>1000</v>
      </c>
    </row>
    <row r="17" customFormat="false" ht="15" hidden="false" customHeight="true" outlineLevel="0" collapsed="false">
      <c r="A17" s="34" t="s">
        <v>1001</v>
      </c>
      <c r="B17" s="43" t="n">
        <f aca="false">'03-Modul'!$B$53*'01-Eingaben'!$B$138</f>
        <v>2.2601472</v>
      </c>
      <c r="C17" s="34" t="s">
        <v>257</v>
      </c>
      <c r="D17" s="34" t="s">
        <v>1002</v>
      </c>
    </row>
    <row r="18" customFormat="false" ht="15" hidden="false" customHeight="true" outlineLevel="0" collapsed="false">
      <c r="A18" s="34" t="s">
        <v>1003</v>
      </c>
      <c r="B18" s="43" t="n">
        <f aca="false">'01-Eingaben'!$B$139*'01-Eingaben'!$B$102</f>
        <v>0</v>
      </c>
      <c r="C18" s="34" t="s">
        <v>257</v>
      </c>
      <c r="D18" s="34" t="s">
        <v>1004</v>
      </c>
    </row>
    <row r="19" customFormat="false" ht="15" hidden="false" customHeight="true" outlineLevel="0" collapsed="false">
      <c r="A19" s="34" t="s">
        <v>1005</v>
      </c>
      <c r="B19" s="43" t="n">
        <f aca="false">'01-Eingaben'!$B$140</f>
        <v>0.6</v>
      </c>
      <c r="C19" s="34" t="s">
        <v>257</v>
      </c>
      <c r="D19" s="34" t="s">
        <v>1006</v>
      </c>
    </row>
    <row r="20" customFormat="false" ht="15" hidden="false" customHeight="true" outlineLevel="0" collapsed="false">
      <c r="A20" s="34" t="s">
        <v>1007</v>
      </c>
      <c r="B20" s="43" t="n">
        <f aca="false">'01-Eingaben'!$B$141</f>
        <v>0.25</v>
      </c>
      <c r="C20" s="34" t="s">
        <v>257</v>
      </c>
      <c r="D20" s="34" t="s">
        <v>1008</v>
      </c>
    </row>
    <row r="21" customFormat="false" ht="15" hidden="false" customHeight="true" outlineLevel="0" collapsed="false">
      <c r="A21" s="34" t="s">
        <v>1009</v>
      </c>
      <c r="B21" s="43" t="n">
        <f aca="false">'01-Eingaben'!$B$142</f>
        <v>0.3</v>
      </c>
      <c r="C21" s="34" t="s">
        <v>257</v>
      </c>
      <c r="D21" s="34" t="s">
        <v>1010</v>
      </c>
    </row>
    <row r="22" customFormat="false" ht="15" hidden="false" customHeight="true" outlineLevel="0" collapsed="false">
      <c r="A22" s="34" t="s">
        <v>1011</v>
      </c>
      <c r="B22" s="43" t="n">
        <f aca="false">'01-Eingaben'!$B$143</f>
        <v>1.2</v>
      </c>
      <c r="C22" s="34" t="s">
        <v>257</v>
      </c>
      <c r="D22" s="34" t="s">
        <v>1012</v>
      </c>
    </row>
    <row r="23" customFormat="false" ht="15" hidden="false" customHeight="true" outlineLevel="0" collapsed="false">
      <c r="A23" s="34" t="s">
        <v>1013</v>
      </c>
      <c r="B23" s="43" t="n">
        <f aca="false">'01-Eingaben'!$B$7*2*('03-Modul'!$B$9+'03-Modul'!$B$10)*('01-Eingaben'!$B$144-'01-Eingaben'!$B$6)/1000000*'01-Eingaben'!$B$146/1000*'01-Eingaben'!$B$99</f>
        <v>0.471156</v>
      </c>
      <c r="C23" s="34" t="s">
        <v>257</v>
      </c>
      <c r="D23" s="34" t="s">
        <v>1014</v>
      </c>
    </row>
    <row r="24" customFormat="false" ht="15" hidden="false" customHeight="true" outlineLevel="0" collapsed="false">
      <c r="A24" s="34" t="s">
        <v>1015</v>
      </c>
      <c r="B24" s="43" t="n">
        <f aca="false">B8*('01-Eingaben'!$B$145/'01-Eingaben'!$B$19-1)</f>
        <v>1.71072</v>
      </c>
      <c r="C24" s="34" t="s">
        <v>257</v>
      </c>
      <c r="D24" s="34" t="s">
        <v>1016</v>
      </c>
    </row>
    <row r="26" customFormat="false" ht="15" hidden="false" customHeight="true" outlineLevel="0" collapsed="false">
      <c r="A26" s="33" t="s">
        <v>1017</v>
      </c>
    </row>
    <row r="27" customFormat="false" ht="15" hidden="false" customHeight="true" outlineLevel="0" collapsed="false">
      <c r="A27" s="33" t="s">
        <v>746</v>
      </c>
      <c r="B27" s="33" t="s">
        <v>985</v>
      </c>
      <c r="C27" s="33" t="s">
        <v>46</v>
      </c>
      <c r="D27" s="33" t="s">
        <v>1018</v>
      </c>
    </row>
    <row r="28" customFormat="false" ht="15" hidden="false" customHeight="true" outlineLevel="0" collapsed="false">
      <c r="A28" s="34" t="s">
        <v>1019</v>
      </c>
      <c r="B28" s="43" t="n">
        <f aca="false">B10</f>
        <v>16.7635885442149</v>
      </c>
      <c r="C28" s="34" t="s">
        <v>257</v>
      </c>
      <c r="D28" s="34" t="s">
        <v>1020</v>
      </c>
    </row>
    <row r="29" customFormat="false" ht="15" hidden="false" customHeight="true" outlineLevel="0" collapsed="false">
      <c r="A29" s="34" t="s">
        <v>1021</v>
      </c>
      <c r="B29" s="43" t="n">
        <f aca="false">B28+B14+B15</f>
        <v>19.9966813442149</v>
      </c>
      <c r="C29" s="34" t="s">
        <v>257</v>
      </c>
      <c r="D29" s="34" t="s">
        <v>1022</v>
      </c>
    </row>
    <row r="30" customFormat="false" ht="15" hidden="false" customHeight="true" outlineLevel="0" collapsed="false">
      <c r="A30" s="34" t="s">
        <v>1023</v>
      </c>
      <c r="B30" s="43" t="n">
        <f aca="false">B29+B20+B21+B22</f>
        <v>21.7466813442149</v>
      </c>
      <c r="C30" s="34" t="s">
        <v>257</v>
      </c>
      <c r="D30" s="34" t="s">
        <v>1024</v>
      </c>
    </row>
    <row r="31" customFormat="false" ht="15" hidden="false" customHeight="true" outlineLevel="0" collapsed="false">
      <c r="A31" s="34" t="s">
        <v>1025</v>
      </c>
      <c r="B31" s="43" t="n">
        <f aca="false">B10+B16+B17+B20+B21+B22+B23+B24</f>
        <v>29.5693653442149</v>
      </c>
      <c r="C31" s="34" t="s">
        <v>257</v>
      </c>
      <c r="D31" s="34" t="s">
        <v>1026</v>
      </c>
    </row>
    <row r="32" customFormat="false" ht="15" hidden="false" customHeight="true" outlineLevel="0" collapsed="false">
      <c r="A32" s="34" t="s">
        <v>1027</v>
      </c>
      <c r="B32" s="43" t="n">
        <f aca="false">B31+B18+B19</f>
        <v>30.1693653442149</v>
      </c>
      <c r="C32" s="34" t="s">
        <v>257</v>
      </c>
      <c r="D32" s="34" t="s">
        <v>1028</v>
      </c>
    </row>
    <row r="34" customFormat="false" ht="15" hidden="false" customHeight="true" outlineLevel="0" collapsed="false">
      <c r="A34" s="33" t="s">
        <v>1029</v>
      </c>
    </row>
    <row r="35" customFormat="false" ht="15" hidden="false" customHeight="true" outlineLevel="0" collapsed="false">
      <c r="A35" s="33" t="s">
        <v>746</v>
      </c>
      <c r="B35" s="33" t="s">
        <v>985</v>
      </c>
      <c r="C35" s="33" t="s">
        <v>46</v>
      </c>
      <c r="D35" s="33" t="s">
        <v>418</v>
      </c>
    </row>
    <row r="36" customFormat="false" ht="15" hidden="false" customHeight="true" outlineLevel="0" collapsed="false">
      <c r="A36" s="34" t="s">
        <v>1030</v>
      </c>
      <c r="B36" s="43" t="n">
        <f aca="false">MAX(B28:B31)</f>
        <v>29.5693653442149</v>
      </c>
      <c r="C36" s="34" t="s">
        <v>257</v>
      </c>
      <c r="D36" s="34" t="s">
        <v>1031</v>
      </c>
    </row>
    <row r="37" customFormat="false" ht="15" hidden="false" customHeight="true" outlineLevel="0" collapsed="false">
      <c r="A37" s="34" t="s">
        <v>1032</v>
      </c>
      <c r="B37" s="37" t="n">
        <f aca="false">'01-Eingaben'!$B$147</f>
        <v>1.25</v>
      </c>
      <c r="C37" s="34" t="s">
        <v>89</v>
      </c>
      <c r="D37" s="34" t="s">
        <v>1033</v>
      </c>
    </row>
    <row r="38" customFormat="false" ht="15" hidden="false" customHeight="true" outlineLevel="0" collapsed="false">
      <c r="A38" s="34" t="s">
        <v>1034</v>
      </c>
      <c r="B38" s="45" t="n">
        <f aca="false">B36*B37</f>
        <v>36.9617066802686</v>
      </c>
      <c r="C38" s="34" t="s">
        <v>257</v>
      </c>
      <c r="D38" s="34" t="s">
        <v>1035</v>
      </c>
    </row>
    <row r="39" customFormat="false" ht="15" hidden="false" customHeight="true" outlineLevel="0" collapsed="false">
      <c r="A39" s="34" t="s">
        <v>1036</v>
      </c>
      <c r="B39" s="37" t="n">
        <f aca="false">B38/B10</f>
        <v>2.20488033232145</v>
      </c>
      <c r="C39" s="34" t="s">
        <v>89</v>
      </c>
      <c r="D39" s="34" t="s">
        <v>1037</v>
      </c>
    </row>
    <row r="40" customFormat="false" ht="15" hidden="false" customHeight="true" outlineLevel="0" collapsed="false">
      <c r="A40" s="34" t="s">
        <v>864</v>
      </c>
      <c r="B40" s="43" t="str">
        <f aca="false">IF(B39&gt;=2,"reichlich — Modul kann sich verdoppeln",IF(B39&gt;=1.5,"ausreichend","knapp — Ausbaureserve pruefen"))</f>
        <v>reichlich — Modul kann sich verdoppeln</v>
      </c>
      <c r="C40" s="34"/>
      <c r="D40" s="34"/>
    </row>
    <row r="42" customFormat="false" ht="15" hidden="false" customHeight="true" outlineLevel="0" collapsed="false">
      <c r="A42" s="33" t="s">
        <v>1038</v>
      </c>
    </row>
    <row r="43" customFormat="false" ht="15" hidden="false" customHeight="true" outlineLevel="0" collapsed="false">
      <c r="A43" s="33" t="s">
        <v>746</v>
      </c>
      <c r="B43" s="33" t="s">
        <v>985</v>
      </c>
      <c r="C43" s="33" t="s">
        <v>46</v>
      </c>
      <c r="D43" s="33" t="s">
        <v>418</v>
      </c>
    </row>
    <row r="44" customFormat="false" ht="15" hidden="false" customHeight="true" outlineLevel="0" collapsed="false">
      <c r="A44" s="34" t="s">
        <v>1039</v>
      </c>
      <c r="B44" s="43" t="n">
        <f aca="false">'05-Licht'!$B$9*0.25</f>
        <v>0.275</v>
      </c>
      <c r="C44" s="34" t="s">
        <v>257</v>
      </c>
      <c r="D44" s="34" t="s">
        <v>1040</v>
      </c>
    </row>
    <row r="45" customFormat="false" ht="15" hidden="false" customHeight="true" outlineLevel="0" collapsed="false">
      <c r="A45" s="34" t="s">
        <v>1041</v>
      </c>
      <c r="B45" s="37" t="n">
        <v>0.55</v>
      </c>
      <c r="C45" s="34" t="s">
        <v>257</v>
      </c>
      <c r="D45" s="34" t="s">
        <v>1042</v>
      </c>
    </row>
    <row r="46" customFormat="false" ht="15" hidden="false" customHeight="true" outlineLevel="0" collapsed="false">
      <c r="A46" s="34" t="s">
        <v>1043</v>
      </c>
      <c r="B46" s="37" t="n">
        <v>0.35</v>
      </c>
      <c r="C46" s="34" t="s">
        <v>257</v>
      </c>
      <c r="D46" s="34" t="s">
        <v>1044</v>
      </c>
    </row>
    <row r="47" customFormat="false" ht="15" hidden="false" customHeight="true" outlineLevel="0" collapsed="false">
      <c r="A47" s="34" t="s">
        <v>1045</v>
      </c>
      <c r="B47" s="43" t="n">
        <f aca="false">SUM(B44:B46)</f>
        <v>1.175</v>
      </c>
      <c r="C47" s="34" t="s">
        <v>257</v>
      </c>
      <c r="D47" s="34" t="s">
        <v>1046</v>
      </c>
    </row>
    <row r="48" customFormat="false" ht="15" hidden="false" customHeight="true" outlineLevel="0" collapsed="false">
      <c r="A48" s="34" t="s">
        <v>1047</v>
      </c>
      <c r="B48" s="43" t="n">
        <f aca="false">B47-'01-Eingaben'!$B$103</f>
        <v>-0.325</v>
      </c>
      <c r="C48" s="34" t="s">
        <v>257</v>
      </c>
      <c r="D48" s="34" t="s">
        <v>1048</v>
      </c>
    </row>
    <row r="50" customFormat="false" ht="15" hidden="false" customHeight="true" outlineLevel="0" collapsed="false">
      <c r="A50" s="34" t="s">
        <v>73</v>
      </c>
      <c r="B50" s="34" t="s">
        <v>1049</v>
      </c>
    </row>
    <row r="51" customFormat="false" ht="15" hidden="false" customHeight="true" outlineLevel="0" collapsed="false">
      <c r="A51" s="34"/>
      <c r="B51" s="34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76"/>
  </cols>
  <sheetData>
    <row r="1" customFormat="false" ht="15" hidden="false" customHeight="true" outlineLevel="0" collapsed="false">
      <c r="A1" s="33" t="s">
        <v>1051</v>
      </c>
    </row>
    <row r="2" customFormat="false" ht="15" hidden="false" customHeight="true" outlineLevel="0" collapsed="false">
      <c r="A2" s="34" t="s">
        <v>1052</v>
      </c>
    </row>
    <row r="4" customFormat="false" ht="15" hidden="false" customHeight="true" outlineLevel="0" collapsed="false">
      <c r="A4" s="33" t="s">
        <v>1053</v>
      </c>
    </row>
    <row r="5" customFormat="false" ht="15" hidden="false" customHeight="true" outlineLevel="0" collapsed="false">
      <c r="A5" s="33" t="s">
        <v>77</v>
      </c>
      <c r="B5" s="33" t="s">
        <v>45</v>
      </c>
      <c r="C5" s="33" t="s">
        <v>46</v>
      </c>
      <c r="D5" s="33" t="s">
        <v>418</v>
      </c>
    </row>
    <row r="6" customFormat="false" ht="15" hidden="false" customHeight="true" outlineLevel="0" collapsed="false">
      <c r="A6" s="34" t="s">
        <v>1054</v>
      </c>
      <c r="B6" s="34" t="str">
        <f aca="false">IF('01-Eingaben'!$B$151=1,"1 — Vollring je Etage","2 — Auflageschienen mit Diagonalverband")</f>
        <v>2 — Auflageschienen mit Diagonalverband</v>
      </c>
      <c r="C6" s="34"/>
      <c r="D6" s="34" t="s">
        <v>1055</v>
      </c>
    </row>
    <row r="7" customFormat="false" ht="15" hidden="false" customHeight="true" outlineLevel="0" collapsed="false">
      <c r="A7" s="34" t="s">
        <v>1056</v>
      </c>
      <c r="B7" s="44" t="n">
        <f aca="false">IF('01-Eingaben'!$B$151=1,'01-Eingaben'!$B$22+2,2)</f>
        <v>2</v>
      </c>
      <c r="C7" s="34" t="s">
        <v>84</v>
      </c>
      <c r="D7" s="34" t="s">
        <v>1057</v>
      </c>
    </row>
    <row r="8" customFormat="false" ht="15" hidden="false" customHeight="true" outlineLevel="0" collapsed="false">
      <c r="A8" s="34" t="s">
        <v>1058</v>
      </c>
      <c r="B8" s="44" t="n">
        <f aca="false">IF('01-Eingaben'!$B$151=1,0,2*'01-Eingaben'!$B$133*'01-Eingaben'!$B$134*'01-Eingaben'!$B$22)</f>
        <v>8</v>
      </c>
      <c r="C8" s="34" t="s">
        <v>84</v>
      </c>
      <c r="D8" s="34" t="s">
        <v>1059</v>
      </c>
    </row>
    <row r="9" customFormat="false" ht="15" hidden="false" customHeight="true" outlineLevel="0" collapsed="false">
      <c r="A9" s="34" t="s">
        <v>1060</v>
      </c>
      <c r="B9" s="44" t="n">
        <f aca="false">('04-Rack'!$B$13-('01-Eingaben'!$B$134+1)*'01-Eingaben'!$B$26)/'01-Eingaben'!$B$134</f>
        <v>490</v>
      </c>
      <c r="C9" s="34" t="s">
        <v>82</v>
      </c>
      <c r="D9" s="34" t="s">
        <v>1061</v>
      </c>
    </row>
    <row r="10" customFormat="false" ht="15" hidden="false" customHeight="true" outlineLevel="0" collapsed="false">
      <c r="A10" s="34" t="s">
        <v>1062</v>
      </c>
      <c r="B10" s="44" t="n">
        <f aca="false">IF('01-Eingaben'!$B$151=1,0,4)+IF('01-Eingaben'!$B$163&gt;1,2,0)</f>
        <v>6</v>
      </c>
      <c r="C10" s="34" t="s">
        <v>84</v>
      </c>
      <c r="D10" s="34" t="s">
        <v>1063</v>
      </c>
    </row>
    <row r="11" customFormat="false" ht="15" hidden="false" customHeight="true" outlineLevel="0" collapsed="false">
      <c r="A11" s="34" t="s">
        <v>1064</v>
      </c>
      <c r="B11" s="44" t="n">
        <f aca="false">'04-Rack'!$B$14-'01-Eingaben'!$B$92-2*'01-Eingaben'!$B$26</f>
        <v>1625</v>
      </c>
      <c r="C11" s="34" t="s">
        <v>82</v>
      </c>
      <c r="D11" s="34" t="s">
        <v>1065</v>
      </c>
    </row>
    <row r="12" customFormat="false" ht="15" hidden="false" customHeight="true" outlineLevel="0" collapsed="false">
      <c r="A12" s="34" t="s">
        <v>1066</v>
      </c>
      <c r="B12" s="44" t="n">
        <f aca="false">'04-Rack'!$B$13-2*'01-Eingaben'!$B$26</f>
        <v>490</v>
      </c>
      <c r="C12" s="34" t="s">
        <v>82</v>
      </c>
      <c r="D12" s="34" t="s">
        <v>1067</v>
      </c>
    </row>
    <row r="13" customFormat="false" ht="15" hidden="false" customHeight="true" outlineLevel="0" collapsed="false">
      <c r="A13" s="34" t="s">
        <v>1068</v>
      </c>
      <c r="B13" s="44" t="n">
        <f aca="false">IF(B10=0,0,(IF('01-Eingaben'!$B$151=1,0,4)*SQRT(B11^2+B12^2)+IF('01-Eingaben'!$B$163&gt;1,2,0)*SQRT(B11^2+('04-Rack'!$B$11)^2))/B10)</f>
        <v>1693.92284206033</v>
      </c>
      <c r="C13" s="34" t="s">
        <v>82</v>
      </c>
      <c r="D13" s="34" t="s">
        <v>1069</v>
      </c>
    </row>
    <row r="14" customFormat="false" ht="15" hidden="false" customHeight="true" outlineLevel="0" collapsed="false">
      <c r="A14" s="34" t="s">
        <v>1070</v>
      </c>
      <c r="B14" s="34" t="str">
        <f aca="false">IF('01-Eingaben'!$B$151=1,IF('01-Eingaben'!$B$163=1,"Rahmenwirkung der sechs Ringe plus Rueckwandscheibe","Rahmenwirkung der sechs Ringe plus Diagonalen hinten"),IF('01-Eingaben'!$B$163=1,"Diagonalen seitlich, Rueckwandscheibe hinten","Diagonalen seitlich und hinten"))</f>
        <v>Diagonalen seitlich und hinten</v>
      </c>
      <c r="C14" s="34"/>
      <c r="D14" s="34" t="s">
        <v>1071</v>
      </c>
    </row>
    <row r="15" customFormat="false" ht="15" hidden="false" customHeight="true" outlineLevel="0" collapsed="false">
      <c r="A15" s="33" t="s">
        <v>1072</v>
      </c>
    </row>
    <row r="16" customFormat="false" ht="15" hidden="false" customHeight="true" outlineLevel="0" collapsed="false">
      <c r="A16" s="33" t="s">
        <v>77</v>
      </c>
      <c r="B16" s="33" t="s">
        <v>45</v>
      </c>
      <c r="C16" s="33" t="s">
        <v>46</v>
      </c>
      <c r="D16" s="33" t="s">
        <v>418</v>
      </c>
    </row>
    <row r="17" customFormat="false" ht="15" hidden="false" customHeight="true" outlineLevel="0" collapsed="false">
      <c r="A17" s="34" t="s">
        <v>1034</v>
      </c>
      <c r="B17" s="37" t="n">
        <f aca="false">'14-Modulmasse'!$B$38</f>
        <v>36.9617066802686</v>
      </c>
      <c r="C17" s="34" t="s">
        <v>257</v>
      </c>
      <c r="D17" s="34" t="s">
        <v>1073</v>
      </c>
    </row>
    <row r="18" customFormat="false" ht="15" hidden="false" customHeight="true" outlineLevel="0" collapsed="false">
      <c r="A18" s="34" t="s">
        <v>1074</v>
      </c>
      <c r="B18" s="44" t="n">
        <f aca="false">B17*9.81/2</f>
        <v>181.297171266718</v>
      </c>
      <c r="C18" s="34" t="s">
        <v>1075</v>
      </c>
      <c r="D18" s="34" t="s">
        <v>1076</v>
      </c>
    </row>
    <row r="19" customFormat="false" ht="15" hidden="false" customHeight="true" outlineLevel="0" collapsed="false">
      <c r="A19" s="34" t="s">
        <v>1077</v>
      </c>
      <c r="B19" s="35" t="n">
        <f aca="false">'01-Eingaben'!$B$152*'01-Eingaben'!$B$153+'01-Eingaben'!$B$153*('01-Eingaben'!$B$152-'01-Eingaben'!$B$153)</f>
        <v>57.75</v>
      </c>
      <c r="C19" s="34" t="s">
        <v>266</v>
      </c>
      <c r="D19" s="34" t="s">
        <v>1078</v>
      </c>
    </row>
    <row r="20" customFormat="false" ht="15" hidden="false" customHeight="true" outlineLevel="0" collapsed="false">
      <c r="A20" s="34" t="s">
        <v>1079</v>
      </c>
      <c r="B20" s="37" t="n">
        <f aca="false">('01-Eingaben'!$B$152*'01-Eingaben'!$B$153*'01-Eingaben'!$B$153/2+'01-Eingaben'!$B$153*('01-Eingaben'!$B$152-'01-Eingaben'!$B$153)*('01-Eingaben'!$B$153+('01-Eingaben'!$B$152-'01-Eingaben'!$B$153)/2))/B19</f>
        <v>5.55519480519481</v>
      </c>
      <c r="C20" s="34" t="s">
        <v>82</v>
      </c>
      <c r="D20" s="34" t="s">
        <v>1080</v>
      </c>
    </row>
    <row r="21" customFormat="false" ht="15" hidden="false" customHeight="true" outlineLevel="0" collapsed="false">
      <c r="A21" s="34" t="s">
        <v>1081</v>
      </c>
      <c r="B21" s="44" t="n">
        <f aca="false">'01-Eingaben'!$B$152*'01-Eingaben'!$B$153^3/12+'01-Eingaben'!$B$152*'01-Eingaben'!$B$153*(B20-'01-Eingaben'!$B$153/2)^2+'01-Eingaben'!$B$153*('01-Eingaben'!$B$152-'01-Eingaben'!$B$153)^3/12+'01-Eingaben'!$B$153*('01-Eingaben'!$B$152-'01-Eingaben'!$B$153)*(('01-Eingaben'!$B$153+('01-Eingaben'!$B$152-'01-Eingaben'!$B$153)/2)-B20)^2</f>
        <v>2238.63656655844</v>
      </c>
      <c r="C21" s="34" t="s">
        <v>1082</v>
      </c>
      <c r="D21" s="34" t="s">
        <v>1083</v>
      </c>
    </row>
    <row r="22" customFormat="false" ht="15" hidden="false" customHeight="true" outlineLevel="0" collapsed="false">
      <c r="A22" s="34" t="s">
        <v>1084</v>
      </c>
      <c r="B22" s="44" t="n">
        <f aca="false">B21/('01-Eingaben'!$B$152-B20)</f>
        <v>154.978660935042</v>
      </c>
      <c r="C22" s="34" t="s">
        <v>1085</v>
      </c>
      <c r="D22" s="34" t="s">
        <v>1086</v>
      </c>
    </row>
    <row r="23" customFormat="false" ht="15" hidden="false" customHeight="true" outlineLevel="0" collapsed="false">
      <c r="A23" s="34" t="s">
        <v>1087</v>
      </c>
      <c r="B23" s="43" t="n">
        <f aca="false">5*B18*B9^3/(384*200000*B21)</f>
        <v>0.620303824710181</v>
      </c>
      <c r="C23" s="34" t="s">
        <v>82</v>
      </c>
      <c r="D23" s="34" t="s">
        <v>1088</v>
      </c>
    </row>
    <row r="24" customFormat="false" ht="15" hidden="false" customHeight="true" outlineLevel="0" collapsed="false">
      <c r="A24" s="34" t="s">
        <v>1089</v>
      </c>
      <c r="B24" s="43" t="n">
        <f aca="false">B9/500</f>
        <v>0.98</v>
      </c>
      <c r="C24" s="34" t="s">
        <v>82</v>
      </c>
      <c r="D24" s="34" t="s">
        <v>1090</v>
      </c>
    </row>
    <row r="25" customFormat="false" ht="15" hidden="false" customHeight="true" outlineLevel="0" collapsed="false">
      <c r="A25" s="34" t="s">
        <v>853</v>
      </c>
      <c r="B25" s="34" t="str">
        <f aca="false">IF(B23&lt;=B24,"ok — unter L/500","zu weich — Schenkel oder Blechstaerke erhoehen")</f>
        <v>ok — unter L/500</v>
      </c>
      <c r="C25" s="34"/>
      <c r="D25" s="34"/>
    </row>
    <row r="26" customFormat="false" ht="15" hidden="false" customHeight="true" outlineLevel="0" collapsed="false">
      <c r="A26" s="34" t="s">
        <v>1091</v>
      </c>
      <c r="B26" s="44" t="n">
        <f aca="false">B18*B9/8</f>
        <v>11104.4517400865</v>
      </c>
      <c r="C26" s="34" t="s">
        <v>1092</v>
      </c>
      <c r="D26" s="34" t="s">
        <v>1093</v>
      </c>
    </row>
    <row r="27" customFormat="false" ht="15" hidden="false" customHeight="true" outlineLevel="0" collapsed="false">
      <c r="A27" s="34" t="s">
        <v>1094</v>
      </c>
      <c r="B27" s="35" t="n">
        <f aca="false">B26/B22</f>
        <v>71.6514884893787</v>
      </c>
      <c r="C27" s="34" t="s">
        <v>362</v>
      </c>
      <c r="D27" s="34" t="s">
        <v>1095</v>
      </c>
    </row>
    <row r="28" customFormat="false" ht="15" hidden="false" customHeight="true" outlineLevel="0" collapsed="false">
      <c r="A28" s="34" t="s">
        <v>1096</v>
      </c>
      <c r="B28" s="37" t="n">
        <f aca="false">'01-Eingaben'!$B$162/B27</f>
        <v>3.20998216295387</v>
      </c>
      <c r="C28" s="34" t="s">
        <v>89</v>
      </c>
      <c r="D28" s="34" t="s">
        <v>1097</v>
      </c>
    </row>
    <row r="29" customFormat="false" ht="15" hidden="false" customHeight="true" outlineLevel="0" collapsed="false">
      <c r="A29" s="34" t="s">
        <v>1098</v>
      </c>
      <c r="B29" s="41" t="str">
        <f aca="false">IF(B28&gt;=2,"ok — Sicherheit ueber 2",IF(B28&gt;=1.5,"knapp","nicht ausreichend"))</f>
        <v>ok — Sicherheit ueber 2</v>
      </c>
      <c r="C29" s="34"/>
      <c r="D29" s="34"/>
    </row>
    <row r="31" customFormat="false" ht="15" hidden="false" customHeight="true" outlineLevel="0" collapsed="false">
      <c r="A31" s="33" t="s">
        <v>1099</v>
      </c>
    </row>
    <row r="32" customFormat="false" ht="15" hidden="false" customHeight="true" outlineLevel="0" collapsed="false">
      <c r="A32" s="33" t="s">
        <v>77</v>
      </c>
      <c r="B32" s="33" t="s">
        <v>45</v>
      </c>
      <c r="C32" s="33" t="s">
        <v>46</v>
      </c>
      <c r="D32" s="33" t="s">
        <v>418</v>
      </c>
    </row>
    <row r="33" customFormat="false" ht="15" hidden="false" customHeight="true" outlineLevel="0" collapsed="false">
      <c r="A33" s="34" t="s">
        <v>1100</v>
      </c>
      <c r="B33" s="35" t="n">
        <f aca="false">'11-Massen-Statik'!$B$13+B17*'01-Eingaben'!$B$133*'01-Eingaben'!$B$134*'01-Eingaben'!$B$22</f>
        <v>171.326074172837</v>
      </c>
      <c r="C33" s="34" t="s">
        <v>257</v>
      </c>
      <c r="D33" s="34" t="s">
        <v>1101</v>
      </c>
    </row>
    <row r="34" customFormat="false" ht="15" hidden="false" customHeight="true" outlineLevel="0" collapsed="false">
      <c r="A34" s="34" t="s">
        <v>1102</v>
      </c>
      <c r="B34" s="44" t="n">
        <f aca="false">B33*9.81*'01-Eingaben'!$B$160</f>
        <v>33.6141757527106</v>
      </c>
      <c r="C34" s="34" t="s">
        <v>1075</v>
      </c>
      <c r="D34" s="34" t="s">
        <v>1103</v>
      </c>
    </row>
    <row r="35" customFormat="false" ht="15" hidden="false" customHeight="true" outlineLevel="0" collapsed="false">
      <c r="A35" s="34" t="s">
        <v>1104</v>
      </c>
      <c r="B35" s="44" t="n">
        <f aca="false">B34/2*B13/B12</f>
        <v>58.1018572699457</v>
      </c>
      <c r="C35" s="34" t="s">
        <v>1075</v>
      </c>
      <c r="D35" s="34" t="s">
        <v>1105</v>
      </c>
    </row>
    <row r="36" customFormat="false" ht="15" hidden="false" customHeight="true" outlineLevel="0" collapsed="false">
      <c r="A36" s="34" t="s">
        <v>1106</v>
      </c>
      <c r="B36" s="44" t="n">
        <f aca="false">'01-Eingaben'!$B$155^2*'01-Eingaben'!$B$156*1000/'01-Eingaben'!$B$161</f>
        <v>2133.33333333333</v>
      </c>
      <c r="C36" s="34" t="s">
        <v>1075</v>
      </c>
      <c r="D36" s="34" t="s">
        <v>1107</v>
      </c>
    </row>
    <row r="37" customFormat="false" ht="15" hidden="false" customHeight="true" outlineLevel="0" collapsed="false">
      <c r="A37" s="34" t="s">
        <v>1108</v>
      </c>
      <c r="B37" s="44" t="n">
        <f aca="false">'01-Eingaben'!$B$159*'01-Eingaben'!$B$153*'01-Eingaben'!$B$162/'01-Eingaben'!$B$161</f>
        <v>2875</v>
      </c>
      <c r="C37" s="34" t="s">
        <v>1075</v>
      </c>
      <c r="D37" s="34" t="s">
        <v>1109</v>
      </c>
    </row>
    <row r="38" customFormat="false" ht="15" hidden="false" customHeight="true" outlineLevel="0" collapsed="false">
      <c r="A38" s="34" t="s">
        <v>1110</v>
      </c>
      <c r="B38" s="34" t="str">
        <f aca="false">IF('01-Eingaben'!$B$154=1,"Stahlseil mit Spannschloss","Flachband aus Blech")</f>
        <v>Flachband aus Blech</v>
      </c>
      <c r="C38" s="34"/>
      <c r="D38" s="34"/>
    </row>
    <row r="39" customFormat="false" ht="15" hidden="false" customHeight="true" outlineLevel="0" collapsed="false">
      <c r="A39" s="34" t="s">
        <v>1111</v>
      </c>
      <c r="B39" s="44" t="n">
        <f aca="false">IF('01-Eingaben'!$B$154=1,B36,B37)</f>
        <v>2875</v>
      </c>
      <c r="C39" s="34" t="s">
        <v>1075</v>
      </c>
      <c r="D39" s="34"/>
    </row>
    <row r="40" customFormat="false" ht="15" hidden="false" customHeight="true" outlineLevel="0" collapsed="false">
      <c r="A40" s="34" t="s">
        <v>1112</v>
      </c>
      <c r="B40" s="43" t="n">
        <f aca="false">B35/B39</f>
        <v>0.0202093416591115</v>
      </c>
      <c r="C40" s="34" t="s">
        <v>89</v>
      </c>
      <c r="D40" s="34"/>
    </row>
    <row r="41" customFormat="false" ht="15" hidden="false" customHeight="true" outlineLevel="0" collapsed="false">
      <c r="A41" s="34" t="s">
        <v>1113</v>
      </c>
      <c r="B41" s="41" t="str">
        <f aca="false">IF(B40&lt;=1,"ok — Verband traegt","zu schwach — Durchmesser oder Bandbreite erhoehen")</f>
        <v>ok — Verband traegt</v>
      </c>
      <c r="C41" s="34"/>
      <c r="D41" s="34"/>
    </row>
    <row r="43" customFormat="false" ht="15" hidden="false" customHeight="true" outlineLevel="0" collapsed="false">
      <c r="A43" s="33" t="s">
        <v>1114</v>
      </c>
    </row>
    <row r="44" customFormat="false" ht="15" hidden="false" customHeight="true" outlineLevel="0" collapsed="false">
      <c r="A44" s="33" t="s">
        <v>77</v>
      </c>
      <c r="B44" s="33" t="s">
        <v>45</v>
      </c>
      <c r="C44" s="33" t="s">
        <v>46</v>
      </c>
      <c r="D44" s="33" t="s">
        <v>418</v>
      </c>
    </row>
    <row r="45" customFormat="false" ht="15" hidden="false" customHeight="true" outlineLevel="0" collapsed="false">
      <c r="A45" s="34" t="s">
        <v>1115</v>
      </c>
      <c r="B45" s="43" t="n">
        <f aca="false">'04-Rack'!$B$24</f>
        <v>10.556</v>
      </c>
      <c r="C45" s="34" t="s">
        <v>276</v>
      </c>
      <c r="D45" s="34" t="s">
        <v>1116</v>
      </c>
    </row>
    <row r="46" customFormat="false" ht="15" hidden="false" customHeight="true" outlineLevel="0" collapsed="false">
      <c r="A46" s="34" t="s">
        <v>1117</v>
      </c>
      <c r="B46" s="37" t="n">
        <f aca="false">B45*('01-Eingaben'!$B$26^2-('01-Eingaben'!$B$26-2*'01-Eingaben'!$B$100)^2)/1000000*'01-Eingaben'!$B$99</f>
        <v>18.6798976</v>
      </c>
      <c r="C46" s="34" t="s">
        <v>257</v>
      </c>
      <c r="D46" s="34"/>
    </row>
    <row r="47" customFormat="false" ht="15" hidden="false" customHeight="true" outlineLevel="0" collapsed="false">
      <c r="A47" s="34" t="s">
        <v>1118</v>
      </c>
      <c r="B47" s="37" t="n">
        <f aca="false">B45*'01-Eingaben'!$B$79</f>
        <v>84.448</v>
      </c>
      <c r="C47" s="34" t="s">
        <v>221</v>
      </c>
      <c r="D47" s="34"/>
    </row>
    <row r="48" customFormat="false" ht="15" hidden="false" customHeight="true" outlineLevel="0" collapsed="false">
      <c r="A48" s="34" t="s">
        <v>1119</v>
      </c>
      <c r="B48" s="35" t="n">
        <f aca="false">2*'01-Eingaben'!$B$152-'01-Eingaben'!$B$153</f>
        <v>38.5</v>
      </c>
      <c r="C48" s="34" t="s">
        <v>82</v>
      </c>
      <c r="D48" s="34"/>
    </row>
    <row r="49" customFormat="false" ht="15" hidden="false" customHeight="true" outlineLevel="0" collapsed="false">
      <c r="A49" s="34" t="s">
        <v>1120</v>
      </c>
      <c r="B49" s="39" t="n">
        <f aca="false">B8*B9*B48/1000000</f>
        <v>0.15092</v>
      </c>
      <c r="C49" s="34" t="s">
        <v>439</v>
      </c>
      <c r="D49" s="34"/>
    </row>
    <row r="50" customFormat="false" ht="15" hidden="false" customHeight="true" outlineLevel="0" collapsed="false">
      <c r="A50" s="34" t="s">
        <v>1121</v>
      </c>
      <c r="B50" s="37" t="n">
        <f aca="false">B49*'01-Eingaben'!$B$153/1000*'01-Eingaben'!$B$99</f>
        <v>1.788402</v>
      </c>
      <c r="C50" s="34" t="s">
        <v>257</v>
      </c>
      <c r="D50" s="34"/>
    </row>
    <row r="51" customFormat="false" ht="15" hidden="false" customHeight="true" outlineLevel="0" collapsed="false">
      <c r="A51" s="34" t="s">
        <v>1122</v>
      </c>
      <c r="B51" s="37" t="n">
        <f aca="false">B49*(1+'01-Eingaben'!$B$41)*'13-Zuschnitt'!$B$47</f>
        <v>15.62022</v>
      </c>
      <c r="C51" s="34" t="s">
        <v>221</v>
      </c>
      <c r="D51" s="34" t="s">
        <v>1123</v>
      </c>
    </row>
    <row r="52" customFormat="false" ht="15" hidden="false" customHeight="true" outlineLevel="0" collapsed="false">
      <c r="A52" s="34" t="s">
        <v>1124</v>
      </c>
      <c r="B52" s="43" t="n">
        <f aca="false">B10*B13/1000</f>
        <v>10.163537052362</v>
      </c>
      <c r="C52" s="34" t="s">
        <v>276</v>
      </c>
      <c r="D52" s="34"/>
    </row>
    <row r="53" customFormat="false" ht="15" hidden="false" customHeight="true" outlineLevel="0" collapsed="false">
      <c r="A53" s="34" t="s">
        <v>1125</v>
      </c>
      <c r="B53" s="37" t="n">
        <f aca="false">IF('01-Eingaben'!$B$154=1,B52*PI()/4*'01-Eingaben'!$B$155^2*0.5/1000000*'01-Eingaben'!$B$99,B52*'01-Eingaben'!$B$159*'01-Eingaben'!$B$153/1000000*'01-Eingaben'!$B$99)</f>
        <v>3.01094785176223</v>
      </c>
      <c r="C53" s="34" t="s">
        <v>257</v>
      </c>
      <c r="D53" s="34" t="s">
        <v>1126</v>
      </c>
    </row>
    <row r="54" customFormat="false" ht="15" hidden="false" customHeight="true" outlineLevel="0" collapsed="false">
      <c r="A54" s="34" t="s">
        <v>1127</v>
      </c>
      <c r="B54" s="37" t="n">
        <f aca="false">IF('01-Eingaben'!$B$154=1,B52*'01-Eingaben'!$B$157+B10*'01-Eingaben'!$B$158,B52*'01-Eingaben'!$B$159/1000*(1+'01-Eingaben'!$B$41)*'13-Zuschnitt'!$B$47)</f>
        <v>26.2981521229866</v>
      </c>
      <c r="C54" s="34" t="s">
        <v>221</v>
      </c>
      <c r="D54" s="34" t="s">
        <v>1128</v>
      </c>
    </row>
    <row r="55" customFormat="false" ht="15" hidden="false" customHeight="true" outlineLevel="0" collapsed="false">
      <c r="A55" s="34" t="s">
        <v>1129</v>
      </c>
      <c r="B55" s="38" t="n">
        <f aca="false">B46+B50+B53</f>
        <v>23.4792474517622</v>
      </c>
      <c r="C55" s="34" t="s">
        <v>257</v>
      </c>
      <c r="D55" s="34" t="s">
        <v>1130</v>
      </c>
    </row>
    <row r="56" customFormat="false" ht="15" hidden="false" customHeight="true" outlineLevel="0" collapsed="false">
      <c r="A56" s="34" t="s">
        <v>1131</v>
      </c>
      <c r="B56" s="38" t="n">
        <f aca="false">B47+B51+B54</f>
        <v>126.366372122987</v>
      </c>
      <c r="C56" s="34" t="s">
        <v>221</v>
      </c>
      <c r="D56" s="34"/>
    </row>
    <row r="57" customFormat="false" ht="15" hidden="false" customHeight="true" outlineLevel="0" collapsed="false">
      <c r="A57" s="34" t="s">
        <v>1132</v>
      </c>
      <c r="B57" s="35" t="n">
        <f aca="false">'04-Rack'!$B$12+IF('01-Eingaben'!$B$151=2,2*'01-Eingaben'!$B$153,0)</f>
        <v>517</v>
      </c>
      <c r="C57" s="34" t="s">
        <v>82</v>
      </c>
      <c r="D57" s="34" t="s">
        <v>1133</v>
      </c>
    </row>
    <row r="58" customFormat="false" ht="15" hidden="false" customHeight="true" outlineLevel="0" collapsed="false">
      <c r="A58" s="34" t="s">
        <v>1134</v>
      </c>
      <c r="B58" s="35" t="n">
        <f aca="false">'04-Rack'!$B$13+IF('01-Eingaben'!$B$163&gt;1,'01-Eingaben'!$B$153,0)</f>
        <v>551.5</v>
      </c>
      <c r="C58" s="34" t="s">
        <v>82</v>
      </c>
      <c r="D58" s="34" t="s">
        <v>1135</v>
      </c>
    </row>
    <row r="59" customFormat="false" ht="15" hidden="false" customHeight="true" outlineLevel="0" collapsed="false">
      <c r="A59" s="34" t="s">
        <v>1136</v>
      </c>
      <c r="B59" s="43" t="n">
        <f aca="false">B57*B58/1000000</f>
        <v>0.2851255</v>
      </c>
      <c r="C59" s="34" t="s">
        <v>439</v>
      </c>
      <c r="D59" s="34" t="s">
        <v>1137</v>
      </c>
    </row>
    <row r="60" customFormat="false" ht="15" hidden="false" customHeight="true" outlineLevel="0" collapsed="false">
      <c r="A60" s="34"/>
      <c r="B60" s="34" t="s">
        <v>1138</v>
      </c>
    </row>
    <row r="62" customFormat="false" ht="15" hidden="false" customHeight="true" outlineLevel="0" collapsed="false">
      <c r="A62" s="33" t="s">
        <v>1139</v>
      </c>
    </row>
    <row r="63" customFormat="false" ht="15" hidden="false" customHeight="true" outlineLevel="0" collapsed="false">
      <c r="A63" s="33" t="s">
        <v>77</v>
      </c>
      <c r="B63" s="33" t="s">
        <v>45</v>
      </c>
      <c r="C63" s="33" t="s">
        <v>46</v>
      </c>
      <c r="D63" s="33" t="s">
        <v>418</v>
      </c>
    </row>
    <row r="64" customFormat="false" ht="15" hidden="false" customHeight="true" outlineLevel="0" collapsed="false">
      <c r="A64" s="34" t="s">
        <v>1140</v>
      </c>
      <c r="B64" s="44" t="n">
        <v>500</v>
      </c>
      <c r="C64" s="34" t="s">
        <v>1075</v>
      </c>
      <c r="D64" s="34" t="s">
        <v>1141</v>
      </c>
    </row>
    <row r="65" customFormat="false" ht="15" hidden="false" customHeight="true" outlineLevel="0" collapsed="false">
      <c r="A65" s="34" t="s">
        <v>1104</v>
      </c>
      <c r="B65" s="44" t="n">
        <f aca="false">B64/2*B13/B12</f>
        <v>864.246347989962</v>
      </c>
      <c r="C65" s="34" t="s">
        <v>1075</v>
      </c>
      <c r="D65" s="34" t="s">
        <v>1142</v>
      </c>
    </row>
    <row r="66" customFormat="false" ht="15" hidden="false" customHeight="true" outlineLevel="0" collapsed="false">
      <c r="A66" s="34" t="s">
        <v>1112</v>
      </c>
      <c r="B66" s="43" t="n">
        <f aca="false">B65/B39</f>
        <v>0.300607425387813</v>
      </c>
      <c r="C66" s="34" t="s">
        <v>89</v>
      </c>
      <c r="D66" s="34"/>
    </row>
    <row r="67" customFormat="false" ht="15" hidden="false" customHeight="true" outlineLevel="0" collapsed="false">
      <c r="A67" s="34" t="s">
        <v>864</v>
      </c>
      <c r="B67" s="41" t="str">
        <f aca="false">IF(B66&lt;=1,"ok — auch der Anstosslastfall traegt","zu schwach fuer den Anstosslastfall")</f>
        <v>ok — auch der Anstosslastfall traegt</v>
      </c>
      <c r="C67" s="34"/>
      <c r="D67" s="34"/>
    </row>
    <row r="68" customFormat="false" ht="15" hidden="false" customHeight="true" outlineLevel="0" collapsed="false">
      <c r="A68" s="34" t="s">
        <v>1143</v>
      </c>
      <c r="B68" s="35" t="n">
        <f aca="false">B64*('04-Rack'!$B$14-'01-Eingaben'!$B$92)/1000</f>
        <v>842.5</v>
      </c>
      <c r="C68" s="34" t="s">
        <v>1144</v>
      </c>
      <c r="D68" s="34" t="s">
        <v>1145</v>
      </c>
    </row>
    <row r="69" customFormat="false" ht="15" hidden="false" customHeight="true" outlineLevel="0" collapsed="false">
      <c r="A69" s="34" t="s">
        <v>1146</v>
      </c>
      <c r="B69" s="35" t="n">
        <f aca="false">B33*9.81*MIN('04-Rack'!$B$12,'04-Rack'!$B$13)/2/1000</f>
        <v>431.942158422331</v>
      </c>
      <c r="C69" s="34" t="s">
        <v>1144</v>
      </c>
      <c r="D69" s="34" t="s">
        <v>1147</v>
      </c>
    </row>
    <row r="70" customFormat="false" ht="15" hidden="false" customHeight="true" outlineLevel="0" collapsed="false">
      <c r="A70" s="34" t="s">
        <v>1148</v>
      </c>
      <c r="B70" s="37" t="n">
        <f aca="false">B69/B68</f>
        <v>0.512690989225319</v>
      </c>
      <c r="C70" s="34" t="s">
        <v>89</v>
      </c>
      <c r="D70" s="34"/>
    </row>
    <row r="71" customFormat="false" ht="15" hidden="false" customHeight="true" outlineLevel="0" collapsed="false">
      <c r="A71" s="34" t="s">
        <v>1149</v>
      </c>
      <c r="B71" s="41" t="str">
        <f aca="false">IF(B70&gt;=1.5,"ok — kippt nicht",IF(B70&gt;=1,"knapp — Wandbefestigung empfohlen","Wandbefestigung noetig"))</f>
        <v>Wandbefestigung noetig</v>
      </c>
      <c r="C71" s="34"/>
      <c r="D7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56"/>
  </cols>
  <sheetData>
    <row r="1" customFormat="false" ht="15" hidden="false" customHeight="true" outlineLevel="0" collapsed="false">
      <c r="A1" s="33" t="s">
        <v>1150</v>
      </c>
    </row>
    <row r="2" customFormat="false" ht="15" hidden="false" customHeight="true" outlineLevel="0" collapsed="false">
      <c r="A2" s="34" t="s">
        <v>1151</v>
      </c>
    </row>
    <row r="3" customFormat="false" ht="15" hidden="false" customHeight="true" outlineLevel="0" collapsed="false">
      <c r="A3" s="34" t="s">
        <v>1152</v>
      </c>
    </row>
    <row r="5" customFormat="false" ht="15" hidden="false" customHeight="true" outlineLevel="0" collapsed="false">
      <c r="A5" s="33" t="s">
        <v>1153</v>
      </c>
      <c r="B5" s="33" t="s">
        <v>1154</v>
      </c>
      <c r="C5" s="33" t="s">
        <v>1155</v>
      </c>
      <c r="D5" s="33" t="s">
        <v>45</v>
      </c>
      <c r="E5" s="33" t="s">
        <v>46</v>
      </c>
      <c r="F5" s="33" t="s">
        <v>552</v>
      </c>
    </row>
    <row r="6" customFormat="false" ht="15" hidden="false" customHeight="true" outlineLevel="0" collapsed="false">
      <c r="A6" s="34" t="s">
        <v>1156</v>
      </c>
      <c r="B6" s="34" t="s">
        <v>19</v>
      </c>
      <c r="C6" s="34" t="s">
        <v>1157</v>
      </c>
      <c r="D6" s="46" t="n">
        <f aca="true">INDIRECT("'"&amp;B6&amp;"'!"&amp;C6)</f>
        <v>176</v>
      </c>
      <c r="E6" s="34" t="s">
        <v>82</v>
      </c>
      <c r="F6" s="34" t="s">
        <v>1158</v>
      </c>
    </row>
    <row r="7" customFormat="false" ht="15" hidden="false" customHeight="true" outlineLevel="0" collapsed="false">
      <c r="A7" s="34" t="s">
        <v>1159</v>
      </c>
      <c r="B7" s="34" t="s">
        <v>19</v>
      </c>
      <c r="C7" s="34" t="s">
        <v>1160</v>
      </c>
      <c r="D7" s="46" t="n">
        <f aca="true">INDIRECT("'"&amp;B7&amp;"'!"&amp;C7)</f>
        <v>108</v>
      </c>
      <c r="E7" s="34" t="s">
        <v>82</v>
      </c>
      <c r="F7" s="34" t="s">
        <v>1161</v>
      </c>
    </row>
    <row r="8" customFormat="false" ht="15" hidden="false" customHeight="true" outlineLevel="0" collapsed="false">
      <c r="A8" s="34" t="s">
        <v>1162</v>
      </c>
      <c r="B8" s="34" t="s">
        <v>15</v>
      </c>
      <c r="C8" s="34" t="s">
        <v>1163</v>
      </c>
      <c r="D8" s="46" t="n">
        <f aca="true">INDIRECT("'"&amp;B8&amp;"'!"&amp;C8)</f>
        <v>40</v>
      </c>
      <c r="E8" s="34" t="s">
        <v>82</v>
      </c>
      <c r="F8" s="34" t="s">
        <v>1164</v>
      </c>
    </row>
    <row r="9" customFormat="false" ht="15" hidden="false" customHeight="true" outlineLevel="0" collapsed="false">
      <c r="A9" s="34" t="s">
        <v>1165</v>
      </c>
      <c r="B9" s="34" t="s">
        <v>15</v>
      </c>
      <c r="C9" s="34" t="s">
        <v>1166</v>
      </c>
      <c r="D9" s="46" t="n">
        <f aca="true">INDIRECT("'"&amp;B9&amp;"'!"&amp;C9)</f>
        <v>6</v>
      </c>
      <c r="E9" s="34"/>
      <c r="F9" s="34" t="s">
        <v>50</v>
      </c>
    </row>
    <row r="10" customFormat="false" ht="15" hidden="false" customHeight="true" outlineLevel="0" collapsed="false">
      <c r="A10" s="34" t="s">
        <v>1167</v>
      </c>
      <c r="B10" s="34" t="s">
        <v>15</v>
      </c>
      <c r="C10" s="34" t="s">
        <v>1168</v>
      </c>
      <c r="D10" s="46" t="n">
        <f aca="true">INDIRECT("'"&amp;B10&amp;"'!"&amp;C10)</f>
        <v>2</v>
      </c>
      <c r="E10" s="34"/>
      <c r="F10" s="34" t="s">
        <v>86</v>
      </c>
    </row>
    <row r="11" customFormat="false" ht="15" hidden="false" customHeight="true" outlineLevel="0" collapsed="false">
      <c r="A11" s="34" t="s">
        <v>1169</v>
      </c>
      <c r="B11" s="34" t="s">
        <v>15</v>
      </c>
      <c r="C11" s="34" t="s">
        <v>1160</v>
      </c>
      <c r="D11" s="46" t="n">
        <f aca="true">INDIRECT("'"&amp;B11&amp;"'!"&amp;C11)</f>
        <v>2</v>
      </c>
      <c r="E11" s="34" t="s">
        <v>82</v>
      </c>
      <c r="F11" s="34" t="s">
        <v>91</v>
      </c>
    </row>
    <row r="12" customFormat="false" ht="15" hidden="false" customHeight="true" outlineLevel="0" collapsed="false">
      <c r="A12" s="34" t="s">
        <v>1170</v>
      </c>
      <c r="B12" s="34" t="s">
        <v>15</v>
      </c>
      <c r="C12" s="34" t="s">
        <v>1171</v>
      </c>
      <c r="D12" s="46" t="n">
        <f aca="true">INDIRECT("'"&amp;B12&amp;"'!"&amp;C12)</f>
        <v>25</v>
      </c>
      <c r="E12" s="34" t="s">
        <v>82</v>
      </c>
      <c r="F12" s="34" t="s">
        <v>93</v>
      </c>
    </row>
    <row r="13" customFormat="false" ht="15" hidden="false" customHeight="true" outlineLevel="0" collapsed="false">
      <c r="A13" s="34" t="s">
        <v>1172</v>
      </c>
      <c r="B13" s="34" t="s">
        <v>15</v>
      </c>
      <c r="C13" s="34" t="s">
        <v>1173</v>
      </c>
      <c r="D13" s="46" t="n">
        <f aca="true">INDIRECT("'"&amp;B13&amp;"'!"&amp;C13)</f>
        <v>15</v>
      </c>
      <c r="E13" s="34" t="s">
        <v>82</v>
      </c>
      <c r="F13" s="34" t="s">
        <v>1174</v>
      </c>
    </row>
    <row r="14" customFormat="false" ht="15" hidden="false" customHeight="true" outlineLevel="0" collapsed="false">
      <c r="A14" s="34" t="s">
        <v>1175</v>
      </c>
      <c r="B14" s="34" t="s">
        <v>15</v>
      </c>
      <c r="C14" s="34" t="s">
        <v>1176</v>
      </c>
      <c r="D14" s="46" t="n">
        <f aca="true">INDIRECT("'"&amp;B14&amp;"'!"&amp;C14)</f>
        <v>100</v>
      </c>
      <c r="E14" s="34" t="s">
        <v>82</v>
      </c>
      <c r="F14" s="34" t="s">
        <v>1177</v>
      </c>
    </row>
    <row r="15" customFormat="false" ht="15" hidden="false" customHeight="true" outlineLevel="0" collapsed="false">
      <c r="A15" s="34" t="s">
        <v>1178</v>
      </c>
      <c r="B15" s="34" t="s">
        <v>15</v>
      </c>
      <c r="C15" s="34" t="s">
        <v>1179</v>
      </c>
      <c r="D15" s="46" t="n">
        <f aca="true">INDIRECT("'"&amp;B15&amp;"'!"&amp;C15)</f>
        <v>150</v>
      </c>
      <c r="E15" s="34" t="s">
        <v>82</v>
      </c>
      <c r="F15" s="34" t="s">
        <v>100</v>
      </c>
    </row>
    <row r="16" customFormat="false" ht="15" hidden="false" customHeight="true" outlineLevel="0" collapsed="false">
      <c r="A16" s="34" t="s">
        <v>1180</v>
      </c>
      <c r="B16" s="34" t="s">
        <v>15</v>
      </c>
      <c r="C16" s="34" t="s">
        <v>1181</v>
      </c>
      <c r="D16" s="46" t="n">
        <f aca="true">INDIRECT("'"&amp;B16&amp;"'!"&amp;C16)</f>
        <v>15</v>
      </c>
      <c r="E16" s="34" t="s">
        <v>82</v>
      </c>
      <c r="F16" s="34" t="s">
        <v>1182</v>
      </c>
    </row>
    <row r="17" customFormat="false" ht="15" hidden="false" customHeight="true" outlineLevel="0" collapsed="false">
      <c r="A17" s="34" t="s">
        <v>1183</v>
      </c>
      <c r="B17" s="34" t="s">
        <v>15</v>
      </c>
      <c r="C17" s="34" t="s">
        <v>1184</v>
      </c>
      <c r="D17" s="46" t="n">
        <f aca="true">INDIRECT("'"&amp;B17&amp;"'!"&amp;C17)</f>
        <v>20</v>
      </c>
      <c r="E17" s="34" t="s">
        <v>82</v>
      </c>
      <c r="F17" s="34" t="s">
        <v>104</v>
      </c>
    </row>
    <row r="18" customFormat="false" ht="15" hidden="false" customHeight="true" outlineLevel="0" collapsed="false">
      <c r="A18" s="34" t="s">
        <v>1185</v>
      </c>
      <c r="B18" s="34" t="s">
        <v>15</v>
      </c>
      <c r="C18" s="34" t="s">
        <v>1186</v>
      </c>
      <c r="D18" s="46" t="n">
        <f aca="true">INDIRECT("'"&amp;B18&amp;"'!"&amp;C18)</f>
        <v>25</v>
      </c>
      <c r="E18" s="34" t="s">
        <v>82</v>
      </c>
      <c r="F18" s="34" t="s">
        <v>106</v>
      </c>
    </row>
    <row r="19" customFormat="false" ht="15" hidden="false" customHeight="true" outlineLevel="0" collapsed="false">
      <c r="A19" s="34" t="s">
        <v>1187</v>
      </c>
      <c r="B19" s="34" t="s">
        <v>15</v>
      </c>
      <c r="C19" s="34" t="s">
        <v>1188</v>
      </c>
      <c r="D19" s="46" t="n">
        <f aca="true">INDIRECT("'"&amp;B19&amp;"'!"&amp;C19)</f>
        <v>1</v>
      </c>
      <c r="E19" s="34" t="s">
        <v>82</v>
      </c>
      <c r="F19" s="34" t="s">
        <v>131</v>
      </c>
    </row>
    <row r="20" customFormat="false" ht="15" hidden="false" customHeight="true" outlineLevel="0" collapsed="false">
      <c r="A20" s="34" t="s">
        <v>1189</v>
      </c>
      <c r="B20" s="34" t="s">
        <v>15</v>
      </c>
      <c r="C20" s="34" t="s">
        <v>1190</v>
      </c>
      <c r="D20" s="46" t="n">
        <f aca="true">INDIRECT("'"&amp;B20&amp;"'!"&amp;C20)</f>
        <v>20</v>
      </c>
      <c r="E20" s="34" t="s">
        <v>82</v>
      </c>
      <c r="F20" s="34" t="s">
        <v>133</v>
      </c>
    </row>
    <row r="21" customFormat="false" ht="15" hidden="false" customHeight="true" outlineLevel="0" collapsed="false">
      <c r="A21" s="34" t="s">
        <v>1191</v>
      </c>
      <c r="B21" s="34" t="s">
        <v>15</v>
      </c>
      <c r="C21" s="34" t="s">
        <v>1192</v>
      </c>
      <c r="D21" s="46" t="n">
        <f aca="true">INDIRECT("'"&amp;B21&amp;"'!"&amp;C21)</f>
        <v>4</v>
      </c>
      <c r="E21" s="34"/>
      <c r="F21" s="34" t="s">
        <v>109</v>
      </c>
    </row>
    <row r="22" customFormat="false" ht="15" hidden="false" customHeight="true" outlineLevel="0" collapsed="false">
      <c r="A22" s="34" t="s">
        <v>1193</v>
      </c>
      <c r="B22" s="34" t="s">
        <v>15</v>
      </c>
      <c r="C22" s="34" t="s">
        <v>1194</v>
      </c>
      <c r="D22" s="46" t="n">
        <f aca="true">INDIRECT("'"&amp;B22&amp;"'!"&amp;C22)</f>
        <v>25</v>
      </c>
      <c r="E22" s="34" t="s">
        <v>82</v>
      </c>
      <c r="F22" s="34" t="s">
        <v>1195</v>
      </c>
    </row>
    <row r="23" customFormat="false" ht="15" hidden="false" customHeight="true" outlineLevel="0" collapsed="false">
      <c r="A23" s="34" t="s">
        <v>1196</v>
      </c>
      <c r="B23" s="34" t="s">
        <v>15</v>
      </c>
      <c r="C23" s="34" t="s">
        <v>1197</v>
      </c>
      <c r="D23" s="46" t="n">
        <f aca="true">INDIRECT("'"&amp;B23&amp;"'!"&amp;C23)</f>
        <v>3</v>
      </c>
      <c r="E23" s="34" t="s">
        <v>82</v>
      </c>
      <c r="F23" s="34" t="s">
        <v>1198</v>
      </c>
    </row>
    <row r="24" customFormat="false" ht="15" hidden="false" customHeight="true" outlineLevel="0" collapsed="false">
      <c r="A24" s="34" t="s">
        <v>1199</v>
      </c>
      <c r="B24" s="34" t="s">
        <v>15</v>
      </c>
      <c r="C24" s="34" t="s">
        <v>1200</v>
      </c>
      <c r="D24" s="46" t="n">
        <f aca="true">INDIRECT("'"&amp;B24&amp;"'!"&amp;C24)</f>
        <v>30</v>
      </c>
      <c r="E24" s="34" t="s">
        <v>82</v>
      </c>
      <c r="F24" s="34" t="s">
        <v>117</v>
      </c>
    </row>
    <row r="25" customFormat="false" ht="15" hidden="false" customHeight="true" outlineLevel="0" collapsed="false">
      <c r="A25" s="34" t="s">
        <v>1201</v>
      </c>
      <c r="B25" s="34" t="s">
        <v>15</v>
      </c>
      <c r="C25" s="34" t="s">
        <v>1202</v>
      </c>
      <c r="D25" s="46" t="n">
        <f aca="true">INDIRECT("'"&amp;B25&amp;"'!"&amp;C25)</f>
        <v>60</v>
      </c>
      <c r="E25" s="34" t="s">
        <v>82</v>
      </c>
      <c r="F25" s="34" t="s">
        <v>119</v>
      </c>
    </row>
    <row r="26" customFormat="false" ht="15" hidden="false" customHeight="true" outlineLevel="0" collapsed="false">
      <c r="A26" s="34" t="s">
        <v>1203</v>
      </c>
      <c r="B26" s="34" t="s">
        <v>15</v>
      </c>
      <c r="C26" s="34" t="s">
        <v>1204</v>
      </c>
      <c r="D26" s="46" t="n">
        <f aca="true">INDIRECT("'"&amp;B26&amp;"'!"&amp;C26)</f>
        <v>35</v>
      </c>
      <c r="E26" s="34" t="s">
        <v>82</v>
      </c>
      <c r="F26" s="34" t="s">
        <v>240</v>
      </c>
    </row>
    <row r="27" customFormat="false" ht="15" hidden="false" customHeight="true" outlineLevel="0" collapsed="false">
      <c r="A27" s="34" t="s">
        <v>1205</v>
      </c>
      <c r="B27" s="34" t="s">
        <v>15</v>
      </c>
      <c r="C27" s="34" t="s">
        <v>1206</v>
      </c>
      <c r="D27" s="46" t="n">
        <f aca="true">INDIRECT("'"&amp;B27&amp;"'!"&amp;C27)</f>
        <v>30</v>
      </c>
      <c r="E27" s="34" t="s">
        <v>82</v>
      </c>
      <c r="F27" s="34" t="s">
        <v>242</v>
      </c>
    </row>
    <row r="28" customFormat="false" ht="15" hidden="false" customHeight="true" outlineLevel="0" collapsed="false">
      <c r="A28" s="34" t="s">
        <v>1207</v>
      </c>
      <c r="B28" s="34" t="s">
        <v>15</v>
      </c>
      <c r="C28" s="34" t="s">
        <v>1208</v>
      </c>
      <c r="D28" s="46" t="n">
        <f aca="true">INDIRECT("'"&amp;B28&amp;"'!"&amp;C28)</f>
        <v>0</v>
      </c>
      <c r="E28" s="34" t="s">
        <v>82</v>
      </c>
      <c r="F28" s="34" t="s">
        <v>244</v>
      </c>
    </row>
    <row r="29" customFormat="false" ht="15" hidden="false" customHeight="true" outlineLevel="0" collapsed="false">
      <c r="A29" s="34" t="s">
        <v>1209</v>
      </c>
      <c r="B29" s="34" t="s">
        <v>15</v>
      </c>
      <c r="C29" s="34" t="s">
        <v>1210</v>
      </c>
      <c r="D29" s="46" t="n">
        <f aca="true">INDIRECT("'"&amp;B29&amp;"'!"&amp;C29)</f>
        <v>300</v>
      </c>
      <c r="E29" s="34" t="s">
        <v>82</v>
      </c>
      <c r="F29" s="34" t="s">
        <v>122</v>
      </c>
    </row>
    <row r="30" customFormat="false" ht="15" hidden="false" customHeight="true" outlineLevel="0" collapsed="false">
      <c r="A30" s="34" t="s">
        <v>1211</v>
      </c>
      <c r="B30" s="34" t="s">
        <v>15</v>
      </c>
      <c r="C30" s="34" t="s">
        <v>1212</v>
      </c>
      <c r="D30" s="46" t="n">
        <f aca="true">INDIRECT("'"&amp;B30&amp;"'!"&amp;C30)</f>
        <v>300</v>
      </c>
      <c r="E30" s="34" t="s">
        <v>82</v>
      </c>
      <c r="F30" s="34" t="s">
        <v>126</v>
      </c>
    </row>
    <row r="31" customFormat="false" ht="15" hidden="false" customHeight="true" outlineLevel="0" collapsed="false">
      <c r="A31" s="34" t="s">
        <v>1213</v>
      </c>
      <c r="B31" s="34" t="s">
        <v>15</v>
      </c>
      <c r="C31" s="34" t="s">
        <v>1214</v>
      </c>
      <c r="D31" s="46" t="n">
        <f aca="true">INDIRECT("'"&amp;B31&amp;"'!"&amp;C31)</f>
        <v>1</v>
      </c>
      <c r="E31" s="34"/>
      <c r="F31" s="34" t="s">
        <v>1215</v>
      </c>
    </row>
    <row r="32" customFormat="false" ht="15" hidden="false" customHeight="true" outlineLevel="0" collapsed="false">
      <c r="A32" s="34" t="s">
        <v>1216</v>
      </c>
      <c r="B32" s="34" t="s">
        <v>15</v>
      </c>
      <c r="C32" s="34" t="s">
        <v>1217</v>
      </c>
      <c r="D32" s="46" t="n">
        <f aca="true">INDIRECT("'"&amp;B32&amp;"'!"&amp;C32)</f>
        <v>1</v>
      </c>
      <c r="E32" s="34"/>
      <c r="F32" s="34" t="s">
        <v>1218</v>
      </c>
    </row>
    <row r="33" customFormat="false" ht="15" hidden="false" customHeight="true" outlineLevel="0" collapsed="false">
      <c r="A33" s="34" t="s">
        <v>1219</v>
      </c>
      <c r="B33" s="34" t="s">
        <v>15</v>
      </c>
      <c r="C33" s="34" t="s">
        <v>1220</v>
      </c>
      <c r="D33" s="46" t="n">
        <f aca="true">INDIRECT("'"&amp;B33&amp;"'!"&amp;C33)</f>
        <v>1</v>
      </c>
      <c r="E33" s="34"/>
      <c r="F33" s="34" t="s">
        <v>1221</v>
      </c>
    </row>
    <row r="34" customFormat="false" ht="15" hidden="false" customHeight="true" outlineLevel="0" collapsed="false">
      <c r="A34" s="34" t="s">
        <v>1222</v>
      </c>
      <c r="B34" s="34" t="s">
        <v>15</v>
      </c>
      <c r="C34" s="34" t="s">
        <v>1223</v>
      </c>
      <c r="D34" s="46" t="n">
        <f aca="true">INDIRECT("'"&amp;B34&amp;"'!"&amp;C34)</f>
        <v>8</v>
      </c>
      <c r="E34" s="34" t="s">
        <v>82</v>
      </c>
      <c r="F34" s="34" t="s">
        <v>1224</v>
      </c>
    </row>
    <row r="35" customFormat="false" ht="15" hidden="false" customHeight="true" outlineLevel="0" collapsed="false">
      <c r="A35" s="34" t="s">
        <v>1225</v>
      </c>
      <c r="B35" s="34" t="s">
        <v>15</v>
      </c>
      <c r="C35" s="34" t="s">
        <v>1226</v>
      </c>
      <c r="D35" s="46" t="n">
        <f aca="true">INDIRECT("'"&amp;B35&amp;"'!"&amp;C35)</f>
        <v>8</v>
      </c>
      <c r="E35" s="34" t="s">
        <v>82</v>
      </c>
      <c r="F35" s="34" t="s">
        <v>284</v>
      </c>
    </row>
    <row r="36" customFormat="false" ht="15" hidden="false" customHeight="true" outlineLevel="0" collapsed="false">
      <c r="A36" s="34" t="s">
        <v>1227</v>
      </c>
      <c r="B36" s="34" t="s">
        <v>15</v>
      </c>
      <c r="C36" s="34" t="s">
        <v>1228</v>
      </c>
      <c r="D36" s="46" t="n">
        <f aca="true">INDIRECT("'"&amp;B36&amp;"'!"&amp;C36)</f>
        <v>2</v>
      </c>
      <c r="E36" s="34"/>
      <c r="F36" s="34" t="s">
        <v>1229</v>
      </c>
    </row>
    <row r="37" customFormat="false" ht="15" hidden="false" customHeight="true" outlineLevel="0" collapsed="false">
      <c r="A37" s="34" t="s">
        <v>1230</v>
      </c>
      <c r="B37" s="34" t="s">
        <v>15</v>
      </c>
      <c r="C37" s="34" t="s">
        <v>1231</v>
      </c>
      <c r="D37" s="46" t="n">
        <f aca="true">INDIRECT("'"&amp;B37&amp;"'!"&amp;C37)</f>
        <v>20</v>
      </c>
      <c r="E37" s="34" t="s">
        <v>82</v>
      </c>
      <c r="F37" s="34" t="s">
        <v>340</v>
      </c>
    </row>
    <row r="38" customFormat="false" ht="15" hidden="false" customHeight="true" outlineLevel="0" collapsed="false">
      <c r="A38" s="34" t="s">
        <v>1232</v>
      </c>
      <c r="B38" s="34" t="s">
        <v>15</v>
      </c>
      <c r="C38" s="34" t="s">
        <v>1233</v>
      </c>
      <c r="D38" s="46" t="n">
        <f aca="true">INDIRECT("'"&amp;B38&amp;"'!"&amp;C38)</f>
        <v>1.5</v>
      </c>
      <c r="E38" s="34" t="s">
        <v>82</v>
      </c>
      <c r="F38" s="34" t="s">
        <v>342</v>
      </c>
    </row>
    <row r="39" customFormat="false" ht="15" hidden="false" customHeight="true" outlineLevel="0" collapsed="false">
      <c r="A39" s="34" t="s">
        <v>1234</v>
      </c>
      <c r="B39" s="34" t="s">
        <v>15</v>
      </c>
      <c r="C39" s="34" t="s">
        <v>1235</v>
      </c>
      <c r="D39" s="46" t="n">
        <f aca="true">INDIRECT("'"&amp;B39&amp;"'!"&amp;C39)</f>
        <v>25</v>
      </c>
      <c r="E39" s="34" t="s">
        <v>82</v>
      </c>
      <c r="F39" s="34" t="s">
        <v>1236</v>
      </c>
    </row>
    <row r="40" customFormat="false" ht="15" hidden="false" customHeight="true" outlineLevel="0" collapsed="false">
      <c r="A40" s="34" t="s">
        <v>1237</v>
      </c>
      <c r="B40" s="34" t="s">
        <v>15</v>
      </c>
      <c r="C40" s="34" t="s">
        <v>1233</v>
      </c>
      <c r="D40" s="46" t="n">
        <f aca="true">INDIRECT("'"&amp;B40&amp;"'!"&amp;C40)</f>
        <v>1.5</v>
      </c>
      <c r="E40" s="34" t="s">
        <v>82</v>
      </c>
      <c r="F40" s="34" t="s">
        <v>1238</v>
      </c>
    </row>
    <row r="41" customFormat="false" ht="15" hidden="false" customHeight="true" outlineLevel="0" collapsed="false">
      <c r="A41" s="34" t="s">
        <v>1239</v>
      </c>
      <c r="B41" s="34" t="s">
        <v>15</v>
      </c>
      <c r="C41" s="34" t="s">
        <v>1240</v>
      </c>
      <c r="D41" s="46" t="n">
        <f aca="true">INDIRECT("'"&amp;B41&amp;"'!"&amp;C41)</f>
        <v>3</v>
      </c>
      <c r="E41" s="34"/>
      <c r="F41" s="34" t="s">
        <v>1241</v>
      </c>
    </row>
    <row r="42" customFormat="false" ht="15" hidden="false" customHeight="true" outlineLevel="0" collapsed="false">
      <c r="A42" s="34" t="s">
        <v>1242</v>
      </c>
      <c r="B42" s="34" t="s">
        <v>15</v>
      </c>
      <c r="C42" s="34" t="s">
        <v>1243</v>
      </c>
      <c r="D42" s="46" t="n">
        <f aca="true">INDIRECT("'"&amp;B42&amp;"'!"&amp;C42)</f>
        <v>20</v>
      </c>
      <c r="E42" s="34" t="s">
        <v>82</v>
      </c>
      <c r="F42" s="34" t="s">
        <v>377</v>
      </c>
    </row>
    <row r="43" customFormat="false" ht="15" hidden="false" customHeight="true" outlineLevel="0" collapsed="false">
      <c r="A43" s="34" t="s">
        <v>1244</v>
      </c>
      <c r="B43" s="34" t="s">
        <v>15</v>
      </c>
      <c r="C43" s="34" t="s">
        <v>1245</v>
      </c>
      <c r="D43" s="46" t="n">
        <f aca="true">INDIRECT("'"&amp;B43&amp;"'!"&amp;C43)</f>
        <v>8</v>
      </c>
      <c r="E43" s="34" t="s">
        <v>82</v>
      </c>
      <c r="F43" s="34" t="s">
        <v>379</v>
      </c>
    </row>
    <row r="44" customFormat="false" ht="15" hidden="false" customHeight="true" outlineLevel="0" collapsed="false">
      <c r="A44" s="34" t="s">
        <v>1246</v>
      </c>
      <c r="B44" s="34" t="s">
        <v>15</v>
      </c>
      <c r="C44" s="34" t="s">
        <v>1247</v>
      </c>
      <c r="D44" s="46" t="n">
        <f aca="true">INDIRECT("'"&amp;B44&amp;"'!"&amp;C44)</f>
        <v>1.5</v>
      </c>
      <c r="E44" s="34" t="s">
        <v>82</v>
      </c>
      <c r="F44" s="34" t="s">
        <v>381</v>
      </c>
    </row>
    <row r="45" customFormat="false" ht="15" hidden="false" customHeight="true" outlineLevel="0" collapsed="false">
      <c r="A45" s="34" t="s">
        <v>1248</v>
      </c>
      <c r="B45" s="34" t="s">
        <v>15</v>
      </c>
      <c r="C45" s="34" t="s">
        <v>1249</v>
      </c>
      <c r="D45" s="46" t="n">
        <f aca="true">INDIRECT("'"&amp;B45&amp;"'!"&amp;C45)</f>
        <v>10</v>
      </c>
      <c r="E45" s="34" t="s">
        <v>82</v>
      </c>
      <c r="F45" s="34" t="s">
        <v>383</v>
      </c>
    </row>
    <row r="46" customFormat="false" ht="15" hidden="false" customHeight="true" outlineLevel="0" collapsed="false">
      <c r="A46" s="34" t="s">
        <v>1250</v>
      </c>
      <c r="B46" s="34" t="s">
        <v>15</v>
      </c>
      <c r="C46" s="34" t="s">
        <v>1251</v>
      </c>
      <c r="D46" s="46" t="n">
        <f aca="true">INDIRECT("'"&amp;B46&amp;"'!"&amp;C46)</f>
        <v>25</v>
      </c>
      <c r="E46" s="34" t="s">
        <v>82</v>
      </c>
      <c r="F46" s="34" t="s">
        <v>385</v>
      </c>
    </row>
    <row r="47" customFormat="false" ht="15" hidden="false" customHeight="true" outlineLevel="0" collapsed="false">
      <c r="A47" s="34" t="s">
        <v>1252</v>
      </c>
      <c r="B47" s="34" t="s">
        <v>15</v>
      </c>
      <c r="C47" s="34" t="s">
        <v>1253</v>
      </c>
      <c r="D47" s="46" t="n">
        <f aca="true">INDIRECT("'"&amp;B47&amp;"'!"&amp;C47)</f>
        <v>12</v>
      </c>
      <c r="E47" s="34" t="s">
        <v>82</v>
      </c>
      <c r="F47" s="34" t="s">
        <v>387</v>
      </c>
    </row>
    <row r="48" customFormat="false" ht="15" hidden="false" customHeight="true" outlineLevel="0" collapsed="false">
      <c r="A48" s="34" t="s">
        <v>1254</v>
      </c>
      <c r="B48" s="34" t="s">
        <v>15</v>
      </c>
      <c r="C48" s="34" t="s">
        <v>1255</v>
      </c>
      <c r="D48" s="46" t="n">
        <f aca="true">INDIRECT("'"&amp;B48&amp;"'!"&amp;C48)</f>
        <v>3</v>
      </c>
      <c r="E48" s="34"/>
      <c r="F48" s="34" t="s">
        <v>388</v>
      </c>
    </row>
    <row r="49" customFormat="false" ht="15" hidden="false" customHeight="false" outlineLevel="0" collapsed="false">
      <c r="A49" s="34" t="s">
        <v>1256</v>
      </c>
      <c r="B49" s="34" t="s">
        <v>15</v>
      </c>
      <c r="C49" s="34" t="s">
        <v>1257</v>
      </c>
      <c r="D49" s="46" t="n">
        <f aca="true">INDIRECT("'"&amp;B49&amp;"'!"&amp;C49)</f>
        <v>10</v>
      </c>
      <c r="E49" s="34" t="s">
        <v>82</v>
      </c>
      <c r="F49" s="34" t="s">
        <v>397</v>
      </c>
    </row>
    <row r="50" customFormat="false" ht="15" hidden="false" customHeight="true" outlineLevel="0" collapsed="false">
      <c r="A50" s="34" t="s">
        <v>1258</v>
      </c>
      <c r="B50" s="34" t="s">
        <v>15</v>
      </c>
      <c r="C50" s="34" t="s">
        <v>1259</v>
      </c>
      <c r="D50" s="46" t="n">
        <f aca="true">INDIRECT("'"&amp;B50&amp;"'!"&amp;C50)</f>
        <v>4</v>
      </c>
      <c r="E50" s="34" t="s">
        <v>82</v>
      </c>
      <c r="F50" s="34" t="s">
        <v>399</v>
      </c>
    </row>
    <row r="51" customFormat="false" ht="15" hidden="false" customHeight="false" outlineLevel="0" collapsed="false">
      <c r="A51" s="34" t="s">
        <v>1260</v>
      </c>
      <c r="B51" s="34" t="s">
        <v>15</v>
      </c>
      <c r="C51" s="34" t="s">
        <v>1261</v>
      </c>
      <c r="D51" s="46" t="n">
        <f aca="true">INDIRECT("'"&amp;B51&amp;"'!"&amp;C51)</f>
        <v>2</v>
      </c>
      <c r="E51" s="34" t="s">
        <v>82</v>
      </c>
      <c r="F51" s="34" t="s">
        <v>1262</v>
      </c>
    </row>
    <row r="52" customFormat="false" ht="15" hidden="false" customHeight="false" outlineLevel="0" collapsed="false">
      <c r="A52" s="34" t="s">
        <v>1263</v>
      </c>
      <c r="B52" s="34" t="s">
        <v>15</v>
      </c>
      <c r="C52" s="34" t="s">
        <v>1264</v>
      </c>
      <c r="D52" s="46" t="n">
        <f aca="true">INDIRECT("'"&amp;B52&amp;"'!"&amp;C52)</f>
        <v>8</v>
      </c>
      <c r="E52" s="34" t="s">
        <v>82</v>
      </c>
      <c r="F52" s="34" t="s">
        <v>403</v>
      </c>
    </row>
    <row r="53" customFormat="false" ht="15" hidden="false" customHeight="false" outlineLevel="0" collapsed="false">
      <c r="A53" s="34" t="s">
        <v>1265</v>
      </c>
      <c r="B53" s="34" t="s">
        <v>15</v>
      </c>
      <c r="C53" s="34" t="s">
        <v>1266</v>
      </c>
      <c r="D53" s="46" t="n">
        <f aca="true">INDIRECT("'"&amp;B53&amp;"'!"&amp;C53)</f>
        <v>6</v>
      </c>
      <c r="E53" s="34" t="s">
        <v>82</v>
      </c>
      <c r="F53" s="34" t="s">
        <v>405</v>
      </c>
    </row>
    <row r="54" customFormat="false" ht="15" hidden="false" customHeight="false" outlineLevel="0" collapsed="false">
      <c r="A54" s="34" t="s">
        <v>1267</v>
      </c>
      <c r="B54" s="34" t="s">
        <v>15</v>
      </c>
      <c r="C54" s="34" t="s">
        <v>1268</v>
      </c>
      <c r="D54" s="46" t="n">
        <f aca="true">INDIRECT("'"&amp;B54&amp;"'!"&amp;C54)</f>
        <v>2</v>
      </c>
      <c r="E54" s="34"/>
      <c r="F54" s="34" t="s">
        <v>1269</v>
      </c>
    </row>
    <row r="55" customFormat="false" ht="15" hidden="false" customHeight="false" outlineLevel="0" collapsed="false">
      <c r="A55" s="34" t="s">
        <v>1270</v>
      </c>
      <c r="B55" s="34" t="s">
        <v>15</v>
      </c>
      <c r="C55" s="34" t="s">
        <v>1271</v>
      </c>
      <c r="D55" s="46" t="n">
        <f aca="true">INDIRECT("'"&amp;B55&amp;"'!"&amp;C55)</f>
        <v>1</v>
      </c>
      <c r="E55" s="34"/>
      <c r="F55" s="34" t="s">
        <v>1272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2026-08-19T08:49:37Z</dcterms:created>
  <dc:creator>openpyxl</dc:creator>
  <dc:description/>
  <dc:language>en-US</dc:language>
  <cp:lastModifiedBy/>
  <dcterms:modified xsi:type="dcterms:W3CDTF">2026-08-21T14:58:34Z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